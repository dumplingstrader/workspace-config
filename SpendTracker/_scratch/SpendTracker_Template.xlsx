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IO_Reference" sheetId="4" state="visible" r:id="rId4"/>
    <sheet xmlns:r="http://schemas.openxmlformats.org/officeDocument/2006/relationships" name="Cross_Char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Posting_Date</t>
        </is>
      </c>
      <c r="E1" s="1" t="inlineStr">
        <is>
          <t>IO_Number</t>
        </is>
      </c>
      <c r="F1" s="1" t="inlineStr">
        <is>
          <t>IO_Description</t>
        </is>
      </c>
      <c r="G1" s="1" t="inlineStr">
        <is>
          <t>Vendor</t>
        </is>
      </c>
      <c r="H1" s="1" t="inlineStr">
        <is>
          <t>Vendor_Number</t>
        </is>
      </c>
      <c r="I1" s="1" t="inlineStr">
        <is>
          <t>PO_Number</t>
        </is>
      </c>
      <c r="J1" s="1" t="inlineStr">
        <is>
          <t>Description</t>
        </is>
      </c>
      <c r="K1" s="1" t="inlineStr">
        <is>
          <t>PO_Value</t>
        </is>
      </c>
      <c r="L1" s="1" t="inlineStr">
        <is>
          <t>GR_Value</t>
        </is>
      </c>
      <c r="M1" s="1" t="inlineStr">
        <is>
          <t>Open_Amount</t>
        </is>
      </c>
      <c r="N1" s="1" t="inlineStr">
        <is>
          <t>Is_Cross_Charge</t>
        </is>
      </c>
      <c r="O1" s="1" t="inlineStr">
        <is>
          <t>Doc_Type</t>
        </is>
      </c>
      <c r="P1" s="1" t="inlineStr">
        <is>
          <t>Source</t>
        </is>
      </c>
      <c r="Q1" s="1" t="inlineStr">
        <is>
          <t>Classification</t>
        </is>
      </c>
      <c r="R1" s="1" t="inlineStr">
        <is>
          <t>Status</t>
        </is>
      </c>
      <c r="S1" s="1" t="inlineStr">
        <is>
          <t>Comment</t>
        </is>
      </c>
    </row>
    <row r="2">
      <c r="A2" t="inlineStr">
        <is>
          <t>(Data will be populated by script)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PIVOT TABLE INSTRUCTIONS</t>
        </is>
      </c>
    </row>
    <row r="2">
      <c r="A2" t="inlineStr"/>
    </row>
    <row r="3">
      <c r="A3" t="inlineStr">
        <is>
          <t>To create pivot tables from the Data sheet:</t>
        </is>
      </c>
    </row>
    <row r="4">
      <c r="A4" t="inlineStr"/>
    </row>
    <row r="5">
      <c r="A5" t="inlineStr">
        <is>
          <t>1. Go to the Data sheet</t>
        </is>
      </c>
    </row>
    <row r="6">
      <c r="A6" t="inlineStr">
        <is>
          <t>2. Select any cell in the data table</t>
        </is>
      </c>
    </row>
    <row r="7">
      <c r="A7" t="inlineStr">
        <is>
          <t>3. Insert &gt; PivotTable</t>
        </is>
      </c>
    </row>
    <row r="8">
      <c r="A8" t="inlineStr">
        <is>
          <t>4. Choose 'New Worksheet' or place on this sheet</t>
        </is>
      </c>
    </row>
    <row r="9">
      <c r="A9" t="inlineStr"/>
    </row>
    <row r="10">
      <c r="A10" t="inlineStr">
        <is>
          <t>Recommended Pivot Table configurations:</t>
        </is>
      </c>
    </row>
    <row r="11">
      <c r="A11" t="inlineStr"/>
    </row>
    <row r="12">
      <c r="A12" t="inlineStr">
        <is>
          <t>SPEND BY IO AND YEAR:</t>
        </is>
      </c>
    </row>
    <row r="13">
      <c r="A13" t="inlineStr">
        <is>
          <t xml:space="preserve">  - Rows: IO_Number, IO_Description</t>
        </is>
      </c>
    </row>
    <row r="14">
      <c r="A14" t="inlineStr">
        <is>
          <t xml:space="preserve">  - Columns: Fiscal_Year</t>
        </is>
      </c>
    </row>
    <row r="15">
      <c r="A15" t="inlineStr">
        <is>
          <t xml:space="preserve">  - Values: Sum of GR_Value</t>
        </is>
      </c>
    </row>
    <row r="16">
      <c r="A16" t="inlineStr">
        <is>
          <t xml:space="preserve">  - Filter: Source = 'TS_Actuals'</t>
        </is>
      </c>
    </row>
    <row r="17">
      <c r="A17" t="inlineStr"/>
    </row>
    <row r="18">
      <c r="A18" t="inlineStr">
        <is>
          <t>MONTHLY TREND:</t>
        </is>
      </c>
    </row>
    <row r="19">
      <c r="A19" t="inlineStr">
        <is>
          <t xml:space="preserve">  - Rows: Fiscal_Year, Month</t>
        </is>
      </c>
    </row>
    <row r="20">
      <c r="A20" t="inlineStr">
        <is>
          <t xml:space="preserve">  - Columns: IO_Number</t>
        </is>
      </c>
    </row>
    <row r="21">
      <c r="A21" t="inlineStr">
        <is>
          <t xml:space="preserve">  - Values: Sum of GR_Value</t>
        </is>
      </c>
    </row>
    <row r="22">
      <c r="A22" t="inlineStr"/>
    </row>
    <row r="23">
      <c r="A23" t="inlineStr">
        <is>
          <t>CROSS-CHARGES:</t>
        </is>
      </c>
    </row>
    <row r="24">
      <c r="A24" t="inlineStr">
        <is>
          <t xml:space="preserve">  - Filter: Is_Cross_Charge = TRUE</t>
        </is>
      </c>
    </row>
    <row r="25">
      <c r="A25" t="inlineStr">
        <is>
          <t xml:space="preserve">  - Rows: IO_Number, Vendor, Description</t>
        </is>
      </c>
    </row>
    <row r="26">
      <c r="A26" t="inlineStr">
        <is>
          <t xml:space="preserve">  - Values: Sum of GR_Value</t>
        </is>
      </c>
    </row>
    <row r="27">
      <c r="A27" t="inlineStr"/>
    </row>
    <row r="28">
      <c r="A28" t="inlineStr">
        <is>
          <t>PO COMMITMENTS:</t>
        </is>
      </c>
    </row>
    <row r="29">
      <c r="A29" t="inlineStr">
        <is>
          <t xml:space="preserve">  - Filter: Source = 'ME2K'</t>
        </is>
      </c>
    </row>
    <row r="30">
      <c r="A30" t="inlineStr">
        <is>
          <t xml:space="preserve">  - Rows: IO_Number, Vendor, PO_Number</t>
        </is>
      </c>
    </row>
    <row r="31">
      <c r="A31" t="inlineStr">
        <is>
          <t xml:space="preserve">  - Values: Sum of PO_Value, Sum of Open_Amount</t>
        </is>
      </c>
    </row>
    <row r="32">
      <c r="A32" t="inlineStr"/>
    </row>
    <row r="33">
      <c r="A33" t="inlineStr">
        <is>
          <t>Add Slicers:</t>
        </is>
      </c>
    </row>
    <row r="34">
      <c r="A34" t="inlineStr">
        <is>
          <t xml:space="preserve">  - PivotTable Analyze &gt; Insert Slicer</t>
        </is>
      </c>
    </row>
    <row r="35">
      <c r="A35" t="inlineStr">
        <is>
          <t xml:space="preserve">  - Select: Fiscal_Year, IO_Number, Source, Is_Cross_Charge,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2" t="inlineStr">
        <is>
          <t>BUDGET TRACKING</t>
        </is>
      </c>
    </row>
    <row r="3">
      <c r="A3" s="1" t="inlineStr">
        <is>
          <t>IO_Number</t>
        </is>
      </c>
      <c r="B3" s="1" t="inlineStr">
        <is>
          <t>IO_Description</t>
        </is>
      </c>
      <c r="C3" s="1" t="inlineStr">
        <is>
          <t>Annual_Budget</t>
        </is>
      </c>
      <c r="D3" s="1" t="inlineStr">
        <is>
          <t>YTD_Actuals</t>
        </is>
      </c>
      <c r="E3" s="1" t="inlineStr">
        <is>
          <t>Remaining</t>
        </is>
      </c>
      <c r="F3" s="1" t="inlineStr">
        <is>
          <t>Variance_%</t>
        </is>
      </c>
    </row>
    <row r="4">
      <c r="A4" t="inlineStr">
        <is>
          <t>9909811</t>
        </is>
      </c>
      <c r="B4" t="inlineStr">
        <is>
          <t>PC - Software &amp; Contracts</t>
        </is>
      </c>
      <c r="C4" t="n">
        <v>0</v>
      </c>
      <c r="D4">
        <f>SUMIFS(Data!L:L,Data!E:E,A4,Data!P:P,"TS_Actuals")</f>
        <v/>
      </c>
      <c r="E4">
        <f>C4-D4</f>
        <v/>
      </c>
      <c r="F4" s="3">
        <f>IF(C4=0,0,(C4-D4)/C4)</f>
        <v/>
      </c>
    </row>
    <row r="5">
      <c r="A5" t="inlineStr">
        <is>
          <t>9909813</t>
        </is>
      </c>
      <c r="B5" t="inlineStr">
        <is>
          <t>PC - Outside Support (Contractors)</t>
        </is>
      </c>
      <c r="C5" t="n">
        <v>0</v>
      </c>
      <c r="D5">
        <f>SUMIFS(Data!L:L,Data!E:E,A5,Data!P:P,"TS_Actuals")</f>
        <v/>
      </c>
      <c r="E5">
        <f>C5-D5</f>
        <v/>
      </c>
      <c r="F5" s="3">
        <f>IF(C5=0,0,(C5-D5)/C5)</f>
        <v/>
      </c>
    </row>
    <row r="6">
      <c r="A6" t="inlineStr">
        <is>
          <t>9909815</t>
        </is>
      </c>
      <c r="B6" t="inlineStr">
        <is>
          <t>PC - Hardware &amp; Materials</t>
        </is>
      </c>
      <c r="C6" t="n">
        <v>0</v>
      </c>
      <c r="D6">
        <f>SUMIFS(Data!L:L,Data!E:E,A6,Data!P:P,"TS_Actuals")</f>
        <v/>
      </c>
      <c r="E6">
        <f>C6-D6</f>
        <v/>
      </c>
      <c r="F6" s="3">
        <f>IF(C6=0,0,(C6-D6)/C6)</f>
        <v/>
      </c>
    </row>
    <row r="7">
      <c r="A7" t="inlineStr">
        <is>
          <t>9909818</t>
        </is>
      </c>
      <c r="B7" t="inlineStr">
        <is>
          <t>PC - APC Work &amp; Maint</t>
        </is>
      </c>
      <c r="C7" t="n">
        <v>0</v>
      </c>
      <c r="D7">
        <f>SUMIFS(Data!L:L,Data!E:E,A7,Data!P:P,"TS_Actuals")</f>
        <v/>
      </c>
      <c r="E7">
        <f>C7-D7</f>
        <v/>
      </c>
      <c r="F7" s="3">
        <f>IF(C7=0,0,(C7-D7)/C7)</f>
        <v/>
      </c>
    </row>
    <row r="8">
      <c r="A8" t="inlineStr">
        <is>
          <t>9912360</t>
        </is>
      </c>
      <c r="B8" t="inlineStr">
        <is>
          <t>PC - Dept Misc Exp &amp; Travel</t>
        </is>
      </c>
      <c r="C8" t="n">
        <v>0</v>
      </c>
      <c r="D8">
        <f>SUMIFS(Data!L:L,Data!E:E,A8,Data!P:P,"TS_Actuals")</f>
        <v/>
      </c>
      <c r="E8">
        <f>C8-D8</f>
        <v/>
      </c>
      <c r="F8" s="3">
        <f>IF(C8=0,0,(C8-D8)/C8)</f>
        <v/>
      </c>
    </row>
    <row r="9">
      <c r="A9" t="inlineStr">
        <is>
          <t>9913117</t>
        </is>
      </c>
      <c r="B9" t="inlineStr">
        <is>
          <t>Watson Cogen</t>
        </is>
      </c>
      <c r="C9" t="n">
        <v>0</v>
      </c>
      <c r="D9">
        <f>SUMIFS(Data!L:L,Data!E:E,A9,Data!P:P,"TS_Actuals")</f>
        <v/>
      </c>
      <c r="E9">
        <f>C9-D9</f>
        <v/>
      </c>
      <c r="F9" s="3">
        <f>IF(C9=0,0,(C9-D9)/C9)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20" customWidth="1" min="4" max="4"/>
  </cols>
  <sheetData>
    <row r="1">
      <c r="A1" s="2" t="inlineStr">
        <is>
          <t>INTERNAL ORDER REFERENCE</t>
        </is>
      </c>
    </row>
    <row r="3">
      <c r="A3" s="1" t="inlineStr">
        <is>
          <t>Unify_Order</t>
        </is>
      </c>
      <c r="B3" s="1" t="inlineStr">
        <is>
          <t>Legacy_Order</t>
        </is>
      </c>
      <c r="C3" s="1" t="inlineStr">
        <is>
          <t>Description</t>
        </is>
      </c>
      <c r="D3" s="1" t="inlineStr">
        <is>
          <t>Budget_Owner</t>
        </is>
      </c>
    </row>
    <row r="4">
      <c r="A4" t="inlineStr">
        <is>
          <t>9909811</t>
        </is>
      </c>
      <c r="B4" t="inlineStr">
        <is>
          <t>99001110</t>
        </is>
      </c>
      <c r="C4" t="inlineStr">
        <is>
          <t>PC - Software &amp; Contracts</t>
        </is>
      </c>
      <c r="D4" t="inlineStr">
        <is>
          <t>Process Control</t>
        </is>
      </c>
    </row>
    <row r="5">
      <c r="A5" t="inlineStr">
        <is>
          <t>9909813</t>
        </is>
      </c>
      <c r="B5" t="inlineStr">
        <is>
          <t>99001108</t>
        </is>
      </c>
      <c r="C5" t="inlineStr">
        <is>
          <t>PC - Outside Support (Contractors)</t>
        </is>
      </c>
      <c r="D5" t="inlineStr">
        <is>
          <t>Process Control</t>
        </is>
      </c>
    </row>
    <row r="6">
      <c r="A6" t="inlineStr">
        <is>
          <t>9909815</t>
        </is>
      </c>
      <c r="B6" t="inlineStr">
        <is>
          <t>99001106</t>
        </is>
      </c>
      <c r="C6" t="inlineStr">
        <is>
          <t>PC - Hardware &amp; Materials</t>
        </is>
      </c>
      <c r="D6" t="inlineStr">
        <is>
          <t>Process Control</t>
        </is>
      </c>
    </row>
    <row r="7">
      <c r="A7" t="inlineStr">
        <is>
          <t>9909818</t>
        </is>
      </c>
      <c r="B7" t="inlineStr">
        <is>
          <t>99001103</t>
        </is>
      </c>
      <c r="C7" t="inlineStr">
        <is>
          <t>PC - APC Work &amp; Maint</t>
        </is>
      </c>
      <c r="D7" t="inlineStr">
        <is>
          <t>Process Control</t>
        </is>
      </c>
    </row>
    <row r="8">
      <c r="A8" t="inlineStr">
        <is>
          <t>9912360</t>
        </is>
      </c>
      <c r="B8" t="inlineStr"/>
      <c r="C8" t="inlineStr">
        <is>
          <t>PC - Dept Misc Exp &amp; Travel</t>
        </is>
      </c>
      <c r="D8" t="inlineStr">
        <is>
          <t>Process Control</t>
        </is>
      </c>
    </row>
    <row r="9">
      <c r="A9" t="inlineStr">
        <is>
          <t>9913117</t>
        </is>
      </c>
      <c r="B9" t="inlineStr"/>
      <c r="C9" t="inlineStr">
        <is>
          <t>Watson Cogen</t>
        </is>
      </c>
      <c r="D9" t="inlineStr">
        <is>
          <t>Process Control</t>
        </is>
      </c>
    </row>
    <row r="10">
      <c r="A10" t="inlineStr">
        <is>
          <t>9909814</t>
        </is>
      </c>
      <c r="B10" t="inlineStr">
        <is>
          <t>99001107</t>
        </is>
      </c>
      <c r="C10" t="inlineStr">
        <is>
          <t>HW ISA Contract</t>
        </is>
      </c>
      <c r="D10" t="inlineStr">
        <is>
          <t>Process Control</t>
        </is>
      </c>
    </row>
    <row r="11">
      <c r="A11" t="inlineStr">
        <is>
          <t>9909812</t>
        </is>
      </c>
      <c r="B11" t="inlineStr">
        <is>
          <t>99001109</t>
        </is>
      </c>
      <c r="C11" t="inlineStr">
        <is>
          <t>APC Optimizer Project</t>
        </is>
      </c>
      <c r="D11" t="inlineStr">
        <is>
          <t>Process Control</t>
        </is>
      </c>
    </row>
    <row r="12">
      <c r="A12" t="inlineStr">
        <is>
          <t>9909816</t>
        </is>
      </c>
      <c r="B12" t="inlineStr">
        <is>
          <t>99001105</t>
        </is>
      </c>
      <c r="C12" t="inlineStr">
        <is>
          <t>DCS Maintenance LAW</t>
        </is>
      </c>
      <c r="D12" t="inlineStr">
        <is>
          <t>Process Control</t>
        </is>
      </c>
    </row>
    <row r="13">
      <c r="A13" t="inlineStr">
        <is>
          <t>9909817</t>
        </is>
      </c>
      <c r="B13" t="inlineStr">
        <is>
          <t>99001104</t>
        </is>
      </c>
      <c r="C13" t="inlineStr">
        <is>
          <t>DCS Maintenance LAC</t>
        </is>
      </c>
      <c r="D13" t="inlineStr">
        <is>
          <t>Process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CROSS-CHARGES (Auto-filtered from Data)</t>
        </is>
      </c>
    </row>
    <row r="2">
      <c r="A2" t="inlineStr">
        <is>
          <t>These entries bypass the PO process - review monthly</t>
        </is>
      </c>
    </row>
    <row r="4">
      <c r="A4" t="inlineStr">
        <is>
          <t>To view cross-charges:</t>
        </is>
      </c>
    </row>
    <row r="5">
      <c r="A5" t="inlineStr">
        <is>
          <t>1. Go to Data sheet</t>
        </is>
      </c>
    </row>
    <row r="6">
      <c r="A6" t="inlineStr">
        <is>
          <t>2. Filter Is_Cross_Charge column = TRUE</t>
        </is>
      </c>
    </row>
    <row r="7">
      <c r="A7" t="inlineStr">
        <is>
          <t>3. Or create a PivotTable filtered on Is_Cross_Charge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2026-01-26T16:06:45Z</dcterms:created>
  <dcterms:modified xmlns:dcterms="http://purl.org/dc/terms/" xmlns:xsi="http://www.w3.org/2001/XMLSchema-instance" xsi:type="dcterms:W3CDTF">2026-01-26T16:06:45Z</dcterms:modified>
</cp:coreProperties>
</file>