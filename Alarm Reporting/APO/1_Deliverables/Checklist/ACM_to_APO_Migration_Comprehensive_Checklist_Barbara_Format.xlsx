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0-Pre-Assessment" sheetId="2" state="visible" r:id="rId2"/>
    <sheet xmlns:r="http://schemas.openxmlformats.org/officeDocument/2006/relationships" name="0-Cleanup" sheetId="3" state="visible" r:id="rId3"/>
    <sheet xmlns:r="http://schemas.openxmlformats.org/officeDocument/2006/relationships" name="1-Custom Solutions" sheetId="4" state="visible" r:id="rId4"/>
    <sheet xmlns:r="http://schemas.openxmlformats.org/officeDocument/2006/relationships" name="2-Pre-Planning" sheetId="5" state="visible" r:id="rId5"/>
    <sheet xmlns:r="http://schemas.openxmlformats.org/officeDocument/2006/relationships" name="3-OSW Completion" sheetId="6" state="visible" r:id="rId6"/>
    <sheet xmlns:r="http://schemas.openxmlformats.org/officeDocument/2006/relationships" name="4-Deployment Readiness" sheetId="7" state="visible" r:id="rId7"/>
    <sheet xmlns:r="http://schemas.openxmlformats.org/officeDocument/2006/relationships" name="5-Migration Execute" sheetId="8" state="visible" r:id="rId8"/>
    <sheet xmlns:r="http://schemas.openxmlformats.org/officeDocument/2006/relationships" name="6-Validation &amp; Go-Live" sheetId="9" state="visible" r:id="rId9"/>
    <sheet xmlns:r="http://schemas.openxmlformats.org/officeDocument/2006/relationships" name="7-Cutover" sheetId="10" state="visible" r:id="rId10"/>
    <sheet xmlns:r="http://schemas.openxmlformats.org/officeDocument/2006/relationships" name="8-Post-Migr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00000"/>
      <sz val="12"/>
    </font>
    <font>
      <b val="1"/>
      <sz val="11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B4C7E7"/>
        <bgColor rgb="00B4C7E7"/>
      </patternFill>
    </fill>
    <fill>
      <patternFill patternType="solid">
        <fgColor rgb="FF1F4E78"/>
        <bgColor rgb="FF1F4E78"/>
      </patternFill>
    </fill>
    <fill>
      <patternFill patternType="solid">
        <fgColor rgb="FFE7E6E6"/>
        <b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4" borderId="0" applyAlignment="1" pivotButton="0" quotePrefix="0" xfId="0">
      <alignment horizontal="center" vertical="center"/>
    </xf>
    <xf numFmtId="0" fontId="5" fillId="5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FFFF7C80"/>
          <bgColor rgb="FFFF7C8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1" t="inlineStr">
        <is>
          <t>Section</t>
        </is>
      </c>
      <c r="B1" s="1" t="inlineStr">
        <is>
          <t>Description</t>
        </is>
      </c>
    </row>
    <row r="2">
      <c r="A2" s="2" t="inlineStr">
        <is>
          <t>⚠️ TOP REASONS FOR DELAYS &amp; COST OVERRUNS</t>
        </is>
      </c>
      <c r="B2" t="inlineStr">
        <is>
          <t>Based on Marathon Petroleum pilots and multiple site assessments</t>
        </is>
      </c>
    </row>
    <row r="4">
      <c r="A4" s="3" t="inlineStr">
        <is>
          <t>1. MISUNDERSTANDING OF DEPENDENCIES</t>
        </is>
      </c>
      <c r="B4" t="inlineStr">
        <is>
          <t>Delays and additional costs</t>
        </is>
      </c>
    </row>
    <row r="5">
      <c r="A5" t="inlineStr">
        <is>
          <t xml:space="preserve">   •</t>
        </is>
      </c>
      <c r="B5" t="inlineStr">
        <is>
          <t>Perception that APO and Reporting must be deployed together</t>
        </is>
      </c>
    </row>
    <row r="6">
      <c r="A6" t="inlineStr">
        <is>
          <t xml:space="preserve">   •</t>
        </is>
      </c>
      <c r="B6" t="inlineStr">
        <is>
          <t>Actually: HAMR should be working well (HAMR 2.3.0+) BEFORE APO</t>
        </is>
      </c>
    </row>
    <row r="7">
      <c r="A7" t="inlineStr">
        <is>
          <t xml:space="preserve">   •</t>
        </is>
      </c>
      <c r="B7" t="inlineStr">
        <is>
          <t>Critical to have hierarchies compatible across ACM/M&amp;R/EAS</t>
        </is>
      </c>
    </row>
    <row r="9">
      <c r="A9" s="3" t="inlineStr">
        <is>
          <t>2. LICENSE MISCALCULATION</t>
        </is>
      </c>
      <c r="B9" t="inlineStr">
        <is>
          <t>Cost overruns, delays if license insufficient</t>
        </is>
      </c>
    </row>
    <row r="10">
      <c r="A10" t="inlineStr">
        <is>
          <t xml:space="preserve">   •</t>
        </is>
      </c>
      <c r="B10" t="inlineStr">
        <is>
          <t>Cannot delete tags without licenses - no reclaim after ordering</t>
        </is>
      </c>
    </row>
    <row r="11">
      <c r="A11" t="inlineStr">
        <is>
          <t xml:space="preserve">   •</t>
        </is>
      </c>
      <c r="B11" t="inlineStr">
        <is>
          <t>Too many licenses bought but cannot return excess</t>
        </is>
      </c>
    </row>
    <row r="12">
      <c r="A12" t="inlineStr">
        <is>
          <t xml:space="preserve">   •</t>
        </is>
      </c>
      <c r="B12" t="inlineStr">
        <is>
          <t>Example: Anacortes reduced by 35% through cleanup</t>
        </is>
      </c>
    </row>
    <row r="13">
      <c r="A13" t="inlineStr">
        <is>
          <t xml:space="preserve">   •</t>
        </is>
      </c>
      <c r="B13" t="inlineStr">
        <is>
          <t>License count during migration unreliable but allows proceed</t>
        </is>
      </c>
    </row>
    <row r="15">
      <c r="A15" s="3" t="inlineStr">
        <is>
          <t>3. IT-FOCUSED PROJECTS (Quality &amp; Usability Ignored)</t>
        </is>
      </c>
      <c r="B15" t="inlineStr">
        <is>
          <t>No focus on quality or usability</t>
        </is>
      </c>
    </row>
    <row r="16">
      <c r="A16" t="inlineStr">
        <is>
          <t xml:space="preserve">   •</t>
        </is>
      </c>
      <c r="B16" t="inlineStr">
        <is>
          <t>Optimal configuration gets insufficient attention</t>
        </is>
      </c>
    </row>
    <row r="17">
      <c r="A17" t="inlineStr">
        <is>
          <t xml:space="preserve">   •</t>
        </is>
      </c>
      <c r="B17" t="inlineStr">
        <is>
          <t>Delays in providing functional enhancements</t>
        </is>
      </c>
    </row>
    <row r="18">
      <c r="A18" t="inlineStr">
        <is>
          <t xml:space="preserve">   •</t>
        </is>
      </c>
      <c r="B18" t="inlineStr">
        <is>
          <t>Custom solutions not prioritized</t>
        </is>
      </c>
    </row>
    <row r="20">
      <c r="A20" s="3" t="inlineStr">
        <is>
          <t>4. NO PRE-MIGRATION CLEANUP</t>
        </is>
      </c>
      <c r="B20" t="inlineStr">
        <is>
          <t>Delays and ineffective outcomes</t>
        </is>
      </c>
    </row>
    <row r="21">
      <c r="A21" t="inlineStr">
        <is>
          <t xml:space="preserve">   •</t>
        </is>
      </c>
      <c r="B21" t="inlineStr">
        <is>
          <t>Hierarchy cleanup required (may take months)</t>
        </is>
      </c>
    </row>
    <row r="22">
      <c r="A22" t="inlineStr">
        <is>
          <t xml:space="preserve">   •</t>
        </is>
      </c>
      <c r="B22" t="inlineStr">
        <is>
          <t>Database cleanup and testing (months of work)</t>
        </is>
      </c>
    </row>
    <row r="23">
      <c r="A23" t="inlineStr">
        <is>
          <t xml:space="preserve">   •</t>
        </is>
      </c>
      <c r="B23" t="inlineStr">
        <is>
          <t>Corruptions must be fixed in ACM then re-migrate</t>
        </is>
      </c>
    </row>
    <row r="24">
      <c r="A24" t="inlineStr">
        <is>
          <t xml:space="preserve">   •</t>
        </is>
      </c>
      <c r="B24" t="inlineStr">
        <is>
          <t>Difficult to adjust hierarchies later in APO</t>
        </is>
      </c>
    </row>
    <row r="25">
      <c r="A25" t="inlineStr">
        <is>
          <t xml:space="preserve">   •</t>
        </is>
      </c>
      <c r="B25" t="inlineStr">
        <is>
          <t>Cannot realize full rationalization benefits without quality data</t>
        </is>
      </c>
    </row>
    <row r="27">
      <c r="A27" s="3" t="inlineStr">
        <is>
          <t>5. APO MATURITY GAPS</t>
        </is>
      </c>
      <c r="B27" t="inlineStr">
        <is>
          <t>Missing features and functionality gaps</t>
        </is>
      </c>
    </row>
    <row r="28">
      <c r="A28" t="inlineStr">
        <is>
          <t xml:space="preserve">   •</t>
        </is>
      </c>
      <c r="B28" t="inlineStr">
        <is>
          <t>Custom solutions required for operational excellence</t>
        </is>
      </c>
    </row>
    <row r="30">
      <c r="A30" s="2" t="inlineStr">
        <is>
          <t>📊 CRITICAL SUCCESS FACTORS</t>
        </is>
      </c>
      <c r="B30" t="inlineStr">
        <is>
          <t>Critical factors for successful migration</t>
        </is>
      </c>
    </row>
    <row r="32">
      <c r="A32" t="inlineStr">
        <is>
          <t>Database Health</t>
        </is>
      </c>
      <c r="B32" t="inlineStr">
        <is>
          <t>ACM/HAMR cleanup, ghost tag removal, corruption fixes</t>
        </is>
      </c>
    </row>
    <row r="33">
      <c r="A33" t="inlineStr">
        <is>
          <t>License Sizing</t>
        </is>
      </c>
      <c r="B33" t="inlineStr">
        <is>
          <t>Evaluate actual current usage before ordering (30-40% ghost tags common)</t>
        </is>
      </c>
    </row>
    <row r="34">
      <c r="A34" t="inlineStr">
        <is>
          <t>Hierarchy Alignment</t>
        </is>
      </c>
      <c r="B34" t="inlineStr">
        <is>
          <t>Ensure ACM/M&amp;R/EAS hierarchies aligned before migration</t>
        </is>
      </c>
    </row>
    <row r="35">
      <c r="A35" t="inlineStr">
        <is>
          <t>Custom Solutions</t>
        </is>
      </c>
      <c r="B35" t="inlineStr">
        <is>
          <t>Plan for ACM→APO feature gaps, implement enhanced sync and tools</t>
        </is>
      </c>
    </row>
    <row r="36">
      <c r="A36" t="inlineStr">
        <is>
          <t>Training &amp; Change Management</t>
        </is>
      </c>
      <c r="B36" t="inlineStr">
        <is>
          <t>Focus on "what was lost" not just new features</t>
        </is>
      </c>
    </row>
    <row r="37">
      <c r="A37" t="inlineStr">
        <is>
          <t>Post-Migration Support</t>
        </is>
      </c>
      <c r="B37" t="inlineStr">
        <is>
          <t>Daily health checks, backup/recovery, continuous improvement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60" customWidth="1" min="3" max="3"/>
    <col width="12" customWidth="1" min="4" max="4"/>
    <col width="15" customWidth="1" min="5" max="5"/>
    <col width="30" customWidth="1" min="6" max="6"/>
    <col width="15" customWidth="1" min="7" max="7"/>
  </cols>
  <sheetData>
    <row r="1">
      <c r="A1" s="4" t="inlineStr">
        <is>
          <t>#</t>
        </is>
      </c>
      <c r="B1" s="4" t="inlineStr">
        <is>
          <t>Item #</t>
        </is>
      </c>
      <c r="C1" s="4" t="inlineStr">
        <is>
          <t>Task</t>
        </is>
      </c>
      <c r="D1" s="4" t="inlineStr">
        <is>
          <t>Owner</t>
        </is>
      </c>
      <c r="E1" s="4" t="inlineStr">
        <is>
          <t>Status</t>
        </is>
      </c>
      <c r="F1" s="4" t="inlineStr">
        <is>
          <t>Notes</t>
        </is>
      </c>
      <c r="G1" s="4" t="inlineStr">
        <is>
          <t>Prerequisites</t>
        </is>
      </c>
    </row>
    <row r="2">
      <c r="A2" s="5" t="n">
        <v>1</v>
      </c>
      <c r="B2" s="5" t="inlineStr">
        <is>
          <t>Assessment Tasks</t>
        </is>
      </c>
    </row>
    <row r="3">
      <c r="A3" s="5" t="n">
        <v>2</v>
      </c>
      <c r="B3" s="5" t="inlineStr">
        <is>
          <t>.1 ACM Database Quality Audit</t>
        </is>
      </c>
    </row>
    <row r="4">
      <c r="A4">
        <f>IF(ISTEXT(B3), A3+1, A3)</f>
        <v/>
      </c>
      <c r="B4">
        <f>IF(ISTEXT(B3), 1, B3+1)</f>
        <v/>
      </c>
      <c r="C4" t="inlineStr">
        <is>
          <t>Assessment checklist:</t>
        </is>
      </c>
      <c r="D4" t="inlineStr">
        <is>
          <t>Site</t>
        </is>
      </c>
      <c r="E4" t="inlineStr">
        <is>
          <t>☐ Not Started</t>
        </is>
      </c>
    </row>
    <row r="5">
      <c r="A5">
        <f>IF(ISTEXT(B4), A4+1, A4)</f>
        <v/>
      </c>
      <c r="B5">
        <f>IF(ISTEXT(B4), 1, B4+1)</f>
        <v/>
      </c>
      <c r="C5" t="inlineStr">
        <is>
          <t>Invalid tags (tags not in DCS)</t>
        </is>
      </c>
      <c r="D5" t="inlineStr">
        <is>
          <t>Site</t>
        </is>
      </c>
      <c r="E5" t="inlineStr">
        <is>
          <t>☐ Not Started</t>
        </is>
      </c>
    </row>
    <row r="6">
      <c r="A6">
        <f>IF(ISTEXT(B5), A5+1, A5)</f>
        <v/>
      </c>
      <c r="B6">
        <f>IF(ISTEXT(B5), 1, B5+1)</f>
        <v/>
      </c>
      <c r="C6" t="inlineStr">
        <is>
          <t>Ghost tags (historical tags no longer active)</t>
        </is>
      </c>
      <c r="D6" t="inlineStr">
        <is>
          <t>Site</t>
        </is>
      </c>
      <c r="E6" t="inlineStr">
        <is>
          <t>☐ Not Started</t>
        </is>
      </c>
    </row>
    <row r="7">
      <c r="A7">
        <f>IF(ISTEXT(B6), A6+1, A6)</f>
        <v/>
      </c>
      <c r="B7">
        <f>IF(ISTEXT(B6), 1, B6+1)</f>
        <v/>
      </c>
      <c r="C7" t="inlineStr">
        <is>
          <t>Tags in wrong assets (hierarchy misalignment)</t>
        </is>
      </c>
      <c r="D7" t="inlineStr">
        <is>
          <t>Site</t>
        </is>
      </c>
      <c r="E7" t="inlineStr">
        <is>
          <t>☐ Not Started</t>
        </is>
      </c>
    </row>
    <row r="8">
      <c r="A8">
        <f>IF(ISTEXT(B7), A7+1, A7)</f>
        <v/>
      </c>
      <c r="B8">
        <f>IF(ISTEXT(B7), 1, B7+1)</f>
        <v/>
      </c>
      <c r="C8" t="inlineStr">
        <is>
          <t>Corrupted parameters (invalid alarm limits, units, priorities)</t>
        </is>
      </c>
      <c r="D8" t="inlineStr">
        <is>
          <t>Site</t>
        </is>
      </c>
      <c r="E8" t="inlineStr">
        <is>
          <t>☐ Not Started</t>
        </is>
      </c>
    </row>
    <row r="9">
      <c r="A9">
        <f>IF(ISTEXT(B8), A8+1, A8)</f>
        <v/>
      </c>
      <c r="B9">
        <f>IF(ISTEXT(B8), 1, B8+1)</f>
        <v/>
      </c>
      <c r="C9" t="inlineStr">
        <is>
          <t>SCADA tags requiring cleanup</t>
        </is>
      </c>
      <c r="D9" t="inlineStr">
        <is>
          <t>Site</t>
        </is>
      </c>
      <c r="E9" t="inlineStr">
        <is>
          <t>☐ Not Started</t>
        </is>
      </c>
    </row>
    <row r="10">
      <c r="A10">
        <f>IF(ISTEXT(B9), A9+1, A9)</f>
        <v/>
      </c>
      <c r="B10">
        <f>IF(ISTEXT(B9), 1, B9+1)</f>
        <v/>
      </c>
      <c r="C10" t="inlineStr">
        <is>
          <t>Duplicate tags and naming inconsistencies</t>
        </is>
      </c>
      <c r="D10" t="inlineStr">
        <is>
          <t>Site</t>
        </is>
      </c>
      <c r="E10" t="inlineStr">
        <is>
          <t>☐ Not Started</t>
        </is>
      </c>
    </row>
    <row r="11">
      <c r="A11">
        <f>IF(ISTEXT(B10), A10+1, A10)</f>
        <v/>
      </c>
      <c r="B11">
        <f>IF(ISTEXT(B10), 1, B10+1)</f>
        <v/>
      </c>
      <c r="C11" t="inlineStr">
        <is>
          <t>Corrupted notes</t>
        </is>
      </c>
      <c r="D11" t="inlineStr">
        <is>
          <t>Site</t>
        </is>
      </c>
      <c r="E11" t="inlineStr">
        <is>
          <t>☐ Not Started</t>
        </is>
      </c>
    </row>
    <row r="12">
      <c r="A12">
        <f>IF(ISTEXT(B11), A11+1, A11)</f>
        <v/>
      </c>
      <c r="B12">
        <f>IF(ISTEXT(B11), 1, B11+1)</f>
        <v/>
      </c>
      <c r="C12" t="inlineStr">
        <is>
          <t>Tag description accuracy and completeness</t>
        </is>
      </c>
      <c r="D12" t="inlineStr">
        <is>
          <t>Site</t>
        </is>
      </c>
      <c r="E12" t="inlineStr">
        <is>
          <t>☐ Not Started</t>
        </is>
      </c>
    </row>
    <row r="13">
      <c r="A13">
        <f>IF(ISTEXT(B12), A12+1, A12)</f>
        <v/>
      </c>
      <c r="B13">
        <f>IF(ISTEXT(B12), 1, B12+1)</f>
        <v/>
      </c>
      <c r="C13" t="inlineStr">
        <is>
          <t>Alarm Help configuration dependencies</t>
        </is>
      </c>
      <c r="D13" t="inlineStr">
        <is>
          <t>Site</t>
        </is>
      </c>
      <c r="E13" t="inlineStr">
        <is>
          <t>☐ Not Started</t>
        </is>
      </c>
    </row>
    <row r="14">
      <c r="A14">
        <f>IF(ISTEXT(B13), A13+1, A13)</f>
        <v/>
      </c>
      <c r="B14">
        <f>IF(ISTEXT(B13), 1, B13+1)</f>
        <v/>
      </c>
      <c r="C14" t="inlineStr">
        <is>
          <t>Active enforcement mappings</t>
        </is>
      </c>
      <c r="D14" t="inlineStr">
        <is>
          <t>Site</t>
        </is>
      </c>
      <c r="E14" t="inlineStr">
        <is>
          <t>☐ Not Started</t>
        </is>
      </c>
    </row>
    <row r="15">
      <c r="A15">
        <f>IF(ISTEXT(B14), A14+1, A14)</f>
        <v/>
      </c>
      <c r="B15">
        <f>IF(ISTEXT(B14), 1, B14+1)</f>
        <v/>
      </c>
      <c r="C15" t="inlineStr">
        <is>
          <t>Dynamic mode enforcement configurations</t>
        </is>
      </c>
      <c r="D15" t="inlineStr">
        <is>
          <t>Site</t>
        </is>
      </c>
      <c r="E15" t="inlineStr">
        <is>
          <t>☐ Not Started</t>
        </is>
      </c>
    </row>
    <row r="16">
      <c r="A16">
        <f>IF(ISTEXT(B15), A15+1, A15)</f>
        <v/>
      </c>
      <c r="B16">
        <f>IF(ISTEXT(B15), 1, B15+1)</f>
        <v/>
      </c>
      <c r="C16" t="inlineStr">
        <is>
          <t>Health check methodology</t>
        </is>
      </c>
      <c r="D16" t="inlineStr">
        <is>
          <t>Site</t>
        </is>
      </c>
      <c r="E16" t="inlineStr">
        <is>
          <t>☐ Not Started</t>
        </is>
      </c>
    </row>
    <row r="17">
      <c r="A17">
        <f>IF(ISTEXT(B16), A16+1, A16)</f>
        <v/>
      </c>
      <c r="B17">
        <f>IF(ISTEXT(B16), 1, B16+1)</f>
        <v/>
      </c>
      <c r="C17" t="inlineStr">
        <is>
          <t>Tools and queries for assessment</t>
        </is>
      </c>
      <c r="D17" t="inlineStr">
        <is>
          <t>Site</t>
        </is>
      </c>
      <c r="E17" t="inlineStr">
        <is>
          <t>☐ Not Started</t>
        </is>
      </c>
    </row>
    <row r="18">
      <c r="A18">
        <f>IF(ISTEXT(B17), A17+1, A17)</f>
        <v/>
      </c>
      <c r="B18">
        <f>IF(ISTEXT(B17), 1, B17+1)</f>
        <v/>
      </c>
      <c r="C18" t="inlineStr">
        <is>
          <t>Validate ACM Consoles can map APO Consoles to HAMR Operating Positions</t>
        </is>
      </c>
      <c r="D18" t="inlineStr">
        <is>
          <t>Site</t>
        </is>
      </c>
      <c r="E18" t="inlineStr">
        <is>
          <t>☐ Not Started</t>
        </is>
      </c>
    </row>
    <row r="19">
      <c r="A19">
        <f>IF(ISTEXT(B18), A18+1, A18)</f>
        <v/>
      </c>
      <c r="B19">
        <f>IF(ISTEXT(B18), 1, B18+1)</f>
        <v/>
      </c>
      <c r="C19" t="inlineStr">
        <is>
          <t>Scoring system: Green/Yellow/Red health status</t>
        </is>
      </c>
      <c r="D19" t="inlineStr">
        <is>
          <t>Site</t>
        </is>
      </c>
      <c r="E19" t="inlineStr">
        <is>
          <t>☐ Not Started</t>
        </is>
      </c>
    </row>
    <row r="20">
      <c r="A20" s="5" t="n">
        <v>3</v>
      </c>
      <c r="B20" s="5" t="inlineStr">
        <is>
          <t>.2 M&amp;R (Metrics &amp; Reporting) Database Assessment</t>
        </is>
      </c>
    </row>
    <row r="21">
      <c r="A21">
        <f>IF(ISTEXT(B20), A20+1, A20)</f>
        <v/>
      </c>
      <c r="B21">
        <f>IF(ISTEXT(B20), 1, B20+1)</f>
        <v/>
      </c>
      <c r="C21" t="inlineStr">
        <is>
          <t>License consumption analysis:</t>
        </is>
      </c>
      <c r="D21" t="inlineStr">
        <is>
          <t>Site</t>
        </is>
      </c>
      <c r="E21" t="inlineStr">
        <is>
          <t>☐ Not Started</t>
        </is>
      </c>
    </row>
    <row r="22">
      <c r="A22">
        <f>IF(ISTEXT(B21), A21+1, A21)</f>
        <v/>
      </c>
      <c r="B22">
        <f>IF(ISTEXT(B21), 1, B21+1)</f>
        <v/>
      </c>
      <c r="C22" t="inlineStr">
        <is>
          <t>Identifying ghost tags (no events in M&amp;R)</t>
        </is>
      </c>
      <c r="D22" t="inlineStr">
        <is>
          <t>Site</t>
        </is>
      </c>
      <c r="E22" t="inlineStr">
        <is>
          <t>☐ Not Started</t>
        </is>
      </c>
    </row>
    <row r="23">
      <c r="A23">
        <f>IF(ISTEXT(B22), A22+1, A22)</f>
        <v/>
      </c>
      <c r="B23">
        <f>IF(ISTEXT(B22), 1, B22+1)</f>
        <v/>
      </c>
      <c r="C23" t="inlineStr">
        <is>
          <t>Tag merging opportunities (e.g., History Index 200, 201, 202...)</t>
        </is>
      </c>
      <c r="D23" t="inlineStr">
        <is>
          <t>Site</t>
        </is>
      </c>
      <c r="E23" t="inlineStr">
        <is>
          <t>☐ Not Started</t>
        </is>
      </c>
    </row>
    <row r="24">
      <c r="A24">
        <f>IF(ISTEXT(B23), A23+1, A23)</f>
        <v/>
      </c>
      <c r="B24">
        <f>IF(ISTEXT(B23), 1, B23+1)</f>
        <v/>
      </c>
      <c r="C24" t="inlineStr">
        <is>
          <t>Case study: 10,000+ tag spike from invalid Redirection Index tags</t>
        </is>
      </c>
      <c r="D24" t="inlineStr">
        <is>
          <t>Site</t>
        </is>
      </c>
      <c r="E24" t="inlineStr">
        <is>
          <t>☐ Not Started</t>
        </is>
      </c>
    </row>
    <row r="25">
      <c r="A25">
        <f>IF(ISTEXT(B24), A24+1, A24)</f>
        <v/>
      </c>
      <c r="B25">
        <f>IF(ISTEXT(B24), 1, B24+1)</f>
        <v/>
      </c>
      <c r="C25" t="inlineStr">
        <is>
          <t>Old/corrupted assets removal</t>
        </is>
      </c>
      <c r="D25" t="inlineStr">
        <is>
          <t>Site</t>
        </is>
      </c>
      <c r="E25" t="inlineStr">
        <is>
          <t>☐ Not Started</t>
        </is>
      </c>
    </row>
    <row r="26">
      <c r="A26">
        <f>IF(ISTEXT(B25), A25+1, A25)</f>
        <v/>
      </c>
      <c r="B26">
        <f>IF(ISTEXT(B25), 1, B25+1)</f>
        <v/>
      </c>
      <c r="C26" t="inlineStr">
        <is>
          <t>Path re-arrangements and optimization</t>
        </is>
      </c>
      <c r="D26" t="inlineStr">
        <is>
          <t>Site</t>
        </is>
      </c>
      <c r="E26" t="inlineStr">
        <is>
          <t>☐ Not Started</t>
        </is>
      </c>
    </row>
    <row r="27">
      <c r="A27">
        <f>IF(ISTEXT(B26), A26+1, A26)</f>
        <v/>
      </c>
      <c r="B27">
        <f>IF(ISTEXT(B26), 1, B26+1)</f>
        <v/>
      </c>
      <c r="C27" t="inlineStr">
        <is>
          <t>Adjustments of Operating Positions for APO\ACM Console mapping</t>
        </is>
      </c>
      <c r="D27" t="inlineStr">
        <is>
          <t>Site</t>
        </is>
      </c>
      <c r="E27" t="inlineStr">
        <is>
          <t>☐ Not Started</t>
        </is>
      </c>
    </row>
    <row r="28">
      <c r="A28">
        <f>IF(ISTEXT(B27), A27+1, A27)</f>
        <v/>
      </c>
      <c r="B28">
        <f>IF(ISTEXT(B27), 1, B27+1)</f>
        <v/>
      </c>
      <c r="C28" t="inlineStr">
        <is>
          <t>Unassigned process assets should be addressed</t>
        </is>
      </c>
      <c r="D28" t="inlineStr">
        <is>
          <t>Site</t>
        </is>
      </c>
      <c r="E28" t="inlineStr">
        <is>
          <t>☐ Not Started</t>
        </is>
      </c>
    </row>
    <row r="29">
      <c r="A29">
        <f>IF(ISTEXT(B28), A28+1, A28)</f>
        <v/>
      </c>
      <c r="B29">
        <f>IF(ISTEXT(B28), 1, B28+1)</f>
        <v/>
      </c>
      <c r="C29" t="inlineStr">
        <is>
          <t>Performance improvement opportunities:</t>
        </is>
      </c>
      <c r="D29" t="inlineStr">
        <is>
          <t>Site</t>
        </is>
      </c>
      <c r="E29" t="inlineStr">
        <is>
          <t>☐ Not Started</t>
        </is>
      </c>
    </row>
    <row r="30">
      <c r="A30">
        <f>IF(ISTEXT(B29), A29+1, A29)</f>
        <v/>
      </c>
      <c r="B30">
        <f>IF(ISTEXT(B29), 1, B29+1)</f>
        <v/>
      </c>
      <c r="C30" t="inlineStr">
        <is>
          <t>Closing invalid alarms in database</t>
        </is>
      </c>
      <c r="D30" t="inlineStr">
        <is>
          <t>Site</t>
        </is>
      </c>
      <c r="E30" t="inlineStr">
        <is>
          <t>☐ Not Started</t>
        </is>
      </c>
    </row>
    <row r="31">
      <c r="A31">
        <f>IF(ISTEXT(B30), A30+1, A30)</f>
        <v/>
      </c>
      <c r="B31">
        <f>IF(ISTEXT(B30), 1, B30+1)</f>
        <v/>
      </c>
      <c r="C31" t="inlineStr">
        <is>
          <t>Removing invalid suppressed states</t>
        </is>
      </c>
      <c r="D31" t="inlineStr">
        <is>
          <t>Site</t>
        </is>
      </c>
      <c r="E31" t="inlineStr">
        <is>
          <t>☐ Not Started</t>
        </is>
      </c>
    </row>
    <row r="32">
      <c r="A32">
        <f>IF(ISTEXT(B31), A31+1, A31)</f>
        <v/>
      </c>
      <c r="B32">
        <f>IF(ISTEXT(B31), 1, B31+1)</f>
        <v/>
      </c>
      <c r="C32" t="inlineStr">
        <is>
          <t>Merging tag descriptions</t>
        </is>
      </c>
      <c r="D32" t="inlineStr">
        <is>
          <t>Site</t>
        </is>
      </c>
      <c r="E32" t="inlineStr">
        <is>
          <t>☐ Not Started</t>
        </is>
      </c>
    </row>
    <row r="33">
      <c r="A33">
        <f>IF(ISTEXT(B32), A32+1, A32)</f>
        <v/>
      </c>
      <c r="B33">
        <f>IF(ISTEXT(B32), 1, B32+1)</f>
        <v/>
      </c>
      <c r="C33" t="inlineStr">
        <is>
          <t>Retention period review and adjustment</t>
        </is>
      </c>
      <c r="D33" t="inlineStr">
        <is>
          <t>Site</t>
        </is>
      </c>
      <c r="E33" t="inlineStr">
        <is>
          <t>☐ Not Started</t>
        </is>
      </c>
    </row>
    <row r="34">
      <c r="A34" s="5" t="n">
        <v>4</v>
      </c>
      <c r="B34" s="5" t="inlineStr">
        <is>
          <t>.3 EMDB Integrity Verification</t>
        </is>
      </c>
    </row>
    <row r="35">
      <c r="A35">
        <f>IF(ISTEXT(B34), A34+1, A34)</f>
        <v/>
      </c>
      <c r="B35">
        <f>IF(ISTEXT(B34), 1, B34+1)</f>
        <v/>
      </c>
      <c r="C35" t="inlineStr">
        <is>
          <t>EAS EMDB quality assessment</t>
        </is>
      </c>
      <c r="D35" t="inlineStr">
        <is>
          <t>Site</t>
        </is>
      </c>
      <c r="E35" t="inlineStr">
        <is>
          <t>☐ Not Started</t>
        </is>
      </c>
    </row>
    <row r="36">
      <c r="A36">
        <f>IF(ISTEXT(B35), A35+1, A35)</f>
        <v/>
      </c>
      <c r="B36">
        <f>IF(ISTEXT(B35), 1, B35+1)</f>
        <v/>
      </c>
      <c r="C36" t="inlineStr">
        <is>
          <t>Automatic comparison tools (identifying discrepancies)</t>
        </is>
      </c>
      <c r="D36" t="inlineStr">
        <is>
          <t>Site</t>
        </is>
      </c>
      <c r="E36" t="inlineStr">
        <is>
          <t>☐ Not Started</t>
        </is>
      </c>
    </row>
    <row r="37">
      <c r="A37">
        <f>IF(ISTEXT(B36), A36+1, A36)</f>
        <v/>
      </c>
      <c r="B37">
        <f>IF(ISTEXT(B36), 1, B36+1)</f>
        <v/>
      </c>
      <c r="C37" t="inlineStr">
        <is>
          <t>Common EMDB issues discovered:</t>
        </is>
      </c>
      <c r="D37" t="inlineStr">
        <is>
          <t>Site</t>
        </is>
      </c>
      <c r="E37" t="inlineStr">
        <is>
          <t>☐ Not Started</t>
        </is>
      </c>
    </row>
    <row r="38">
      <c r="A38">
        <f>IF(ISTEXT(B37), A37+1, A37)</f>
        <v/>
      </c>
      <c r="B38">
        <f>IF(ISTEXT(B37), 1, B37+1)</f>
        <v/>
      </c>
      <c r="C38" t="inlineStr">
        <is>
          <t>Inconsistent naming conventions</t>
        </is>
      </c>
      <c r="D38" t="inlineStr">
        <is>
          <t>Site</t>
        </is>
      </c>
      <c r="E38" t="inlineStr">
        <is>
          <t>☐ Not Started</t>
        </is>
      </c>
    </row>
    <row r="39">
      <c r="A39">
        <f>IF(ISTEXT(B38), A38+1, A38)</f>
        <v/>
      </c>
      <c r="B39">
        <f>IF(ISTEXT(B38), 1, B38+1)</f>
        <v/>
      </c>
      <c r="C39" t="inlineStr">
        <is>
          <t>Orphaned assets</t>
        </is>
      </c>
      <c r="D39" t="inlineStr">
        <is>
          <t>Site</t>
        </is>
      </c>
      <c r="E39" t="inlineStr">
        <is>
          <t>☐ Not Started</t>
        </is>
      </c>
    </row>
    <row r="40">
      <c r="A40">
        <f>IF(ISTEXT(B39), A39+1, A39)</f>
        <v/>
      </c>
      <c r="B40">
        <f>IF(ISTEXT(B39), 1, B39+1)</f>
        <v/>
      </c>
      <c r="C40" t="inlineStr">
        <is>
          <t>Incorrect hierarchies</t>
        </is>
      </c>
      <c r="D40" t="inlineStr">
        <is>
          <t>Site</t>
        </is>
      </c>
      <c r="E40" t="inlineStr">
        <is>
          <t>☐ Not Started</t>
        </is>
      </c>
    </row>
    <row r="41">
      <c r="A41">
        <f>IF(ISTEXT(B40), A40+1, A40)</f>
        <v/>
      </c>
      <c r="B41">
        <f>IF(ISTEXT(B40), 1, B40+1)</f>
        <v/>
      </c>
      <c r="C41" t="inlineStr">
        <is>
          <t>Duplicate paths</t>
        </is>
      </c>
      <c r="D41" t="inlineStr">
        <is>
          <t>Site</t>
        </is>
      </c>
      <c r="E41" t="inlineStr">
        <is>
          <t>☐ Not Started</t>
        </is>
      </c>
    </row>
    <row r="42">
      <c r="A42">
        <f>IF(ISTEXT(B41), A41+1, A41)</f>
        <v/>
      </c>
      <c r="B42">
        <f>IF(ISTEXT(B41), 1, B41+1)</f>
        <v/>
      </c>
      <c r="C42" t="inlineStr">
        <is>
          <t>Cleanup and consolidation procedures</t>
        </is>
      </c>
      <c r="D42" t="inlineStr">
        <is>
          <t>Site</t>
        </is>
      </c>
      <c r="E42" t="inlineStr">
        <is>
          <t>☐ Not Started</t>
        </is>
      </c>
    </row>
    <row r="43">
      <c r="A43" s="5" t="n">
        <v>5</v>
      </c>
      <c r="B43" s="5" t="inlineStr">
        <is>
          <t>.1 Tag-Level Issues</t>
        </is>
      </c>
    </row>
    <row r="44">
      <c r="A44">
        <f>IF(ISTEXT(B43), A43+1, A43)</f>
        <v/>
      </c>
      <c r="B44">
        <f>IF(ISTEXT(B43), 1, B43+1)</f>
        <v/>
      </c>
      <c r="C44" t="inlineStr">
        <is>
          <t>Non-alarmable tags: Tags that don't meet alarm definition (ISA 18.2)</t>
        </is>
      </c>
      <c r="D44" t="inlineStr">
        <is>
          <t>Site</t>
        </is>
      </c>
      <c r="E44" t="inlineStr">
        <is>
          <t>☐ Not Started</t>
        </is>
      </c>
    </row>
    <row r="45">
      <c r="A45">
        <f>IF(ISTEXT(B44), A44+1, A44)</f>
        <v/>
      </c>
      <c r="B45">
        <f>IF(ISTEXT(B44), 1, B44+1)</f>
        <v/>
      </c>
      <c r="C45" t="inlineStr">
        <is>
          <t>Invalid tag structures: Tags that will fail migration validation</t>
        </is>
      </c>
      <c r="D45" t="inlineStr">
        <is>
          <t>Site</t>
        </is>
      </c>
      <c r="E45" t="inlineStr">
        <is>
          <t>☐ Not Started</t>
        </is>
      </c>
    </row>
    <row r="46">
      <c r="A46">
        <f>IF(ISTEXT(B45), A45+1, A45)</f>
        <v/>
      </c>
      <c r="B46">
        <f>IF(ISTEXT(B45), 1, B45+1)</f>
        <v/>
      </c>
      <c r="C46" t="inlineStr">
        <is>
          <t>Tags not in DCS: Historical or test tags still in database</t>
        </is>
      </c>
      <c r="D46" t="inlineStr">
        <is>
          <t>Site</t>
        </is>
      </c>
      <c r="E46" t="inlineStr">
        <is>
          <t>☐ Not Started</t>
        </is>
      </c>
    </row>
    <row r="47">
      <c r="A47">
        <f>IF(ISTEXT(B46), A46+1, A46)</f>
        <v/>
      </c>
      <c r="B47">
        <f>IF(ISTEXT(B46), 1, B46+1)</f>
        <v/>
      </c>
      <c r="C47" t="inlineStr">
        <is>
          <t>Tag description quality: Incomplete, inaccurate, or missing descriptions</t>
        </is>
      </c>
      <c r="D47" t="inlineStr">
        <is>
          <t>Site</t>
        </is>
      </c>
      <c r="E47" t="inlineStr">
        <is>
          <t>☐ Not Started</t>
        </is>
      </c>
    </row>
    <row r="48">
      <c r="A48">
        <f>IF(ISTEXT(B47), A47+1, A47)</f>
        <v/>
      </c>
      <c r="B48">
        <f>IF(ISTEXT(B47), 1, B47+1)</f>
        <v/>
      </c>
      <c r="C48" t="inlineStr">
        <is>
          <t>Duplicate tags: Same physical point represented multiple times</t>
        </is>
      </c>
      <c r="D48" t="inlineStr">
        <is>
          <t>Site</t>
        </is>
      </c>
      <c r="E48" t="inlineStr">
        <is>
          <t>☐ Not Started</t>
        </is>
      </c>
    </row>
    <row r="49">
      <c r="A49">
        <f>IF(ISTEXT(B48), A48+1, A48)</f>
        <v/>
      </c>
      <c r="B49">
        <f>IF(ISTEXT(B48), 1, B48+1)</f>
        <v/>
      </c>
      <c r="C49" t="inlineStr">
        <is>
          <t>Tags in wrong assets: Misaligned with plant hierarchy</t>
        </is>
      </c>
      <c r="D49" t="inlineStr">
        <is>
          <t>Site</t>
        </is>
      </c>
      <c r="E49" t="inlineStr">
        <is>
          <t>☐ Not Started</t>
        </is>
      </c>
    </row>
    <row r="50">
      <c r="A50">
        <f>IF(ISTEXT(B49), A49+1, A49)</f>
        <v/>
      </c>
      <c r="B50">
        <f>IF(ISTEXT(B49), 1, B49+1)</f>
        <v/>
      </c>
      <c r="C50" t="inlineStr">
        <is>
          <t>BMA tags: Need to be removed prior migration, may need to mitigate with APO 3.1</t>
        </is>
      </c>
      <c r="D50" t="inlineStr">
        <is>
          <t>Site</t>
        </is>
      </c>
      <c r="E50" t="inlineStr">
        <is>
          <t>☐ Not Started</t>
        </is>
      </c>
    </row>
    <row r="51">
      <c r="A51">
        <f>IF(ISTEXT(B50), A50+1, A50)</f>
        <v/>
      </c>
      <c r="B51">
        <f>IF(ISTEXT(B50), 1, B50+1)</f>
        <v/>
      </c>
      <c r="C51" t="inlineStr">
        <is>
          <t>Critical question: Will Honeywell provide a process? Or each customer needs to reinvent it?</t>
        </is>
      </c>
      <c r="D51" t="inlineStr">
        <is>
          <t>Site</t>
        </is>
      </c>
      <c r="E51" t="inlineStr">
        <is>
          <t>☐ Not Started</t>
        </is>
      </c>
    </row>
    <row r="52">
      <c r="A52" s="5" t="n">
        <v>6</v>
      </c>
      <c r="B52" s="5" t="inlineStr">
        <is>
          <t>.2 Parameter-Level Issues</t>
        </is>
      </c>
    </row>
    <row r="53">
      <c r="A53">
        <f>IF(ISTEXT(B52), A52+1, A52)</f>
        <v/>
      </c>
      <c r="B53">
        <f>IF(ISTEXT(B52), 1, B52+1)</f>
        <v/>
      </c>
      <c r="C53" t="inlineStr">
        <is>
          <t>Corrupted parameters: Invalid alarm limits, deadbands, delays</t>
        </is>
      </c>
      <c r="D53" t="inlineStr">
        <is>
          <t>Site</t>
        </is>
      </c>
      <c r="E53" t="inlineStr">
        <is>
          <t>☐ Not Started</t>
        </is>
      </c>
    </row>
    <row r="54">
      <c r="A54">
        <f>IF(ISTEXT(B53), A53+1, A53)</f>
        <v/>
      </c>
      <c r="B54">
        <f>IF(ISTEXT(B53), 1, B53+1)</f>
        <v/>
      </c>
      <c r="C54" t="inlineStr">
        <is>
          <t>Unit mismatches: Engineering units inconsistent between ACM and DCS</t>
        </is>
      </c>
      <c r="D54" t="inlineStr">
        <is>
          <t>Site</t>
        </is>
      </c>
      <c r="E54" t="inlineStr">
        <is>
          <t>☐ Not Started</t>
        </is>
      </c>
    </row>
    <row r="55">
      <c r="A55">
        <f>IF(ISTEXT(B54), A54+1, A54)</f>
        <v/>
      </c>
      <c r="B55">
        <f>IF(ISTEXT(B54), 1, B54+1)</f>
        <v/>
      </c>
      <c r="C55" t="inlineStr">
        <is>
          <t>Priority misalignment: Priorities not following rationalization rules</t>
        </is>
      </c>
      <c r="D55" t="inlineStr">
        <is>
          <t>Site</t>
        </is>
      </c>
      <c r="E55" t="inlineStr">
        <is>
          <t>☐ Not Started</t>
        </is>
      </c>
    </row>
    <row r="56">
      <c r="A56">
        <f>IF(ISTEXT(B55), A55+1, A55)</f>
        <v/>
      </c>
      <c r="B56">
        <f>IF(ISTEXT(B55), 1, B55+1)</f>
        <v/>
      </c>
      <c r="C56" t="inlineStr">
        <is>
          <t>Invalid time parameters: Response times and delay settings</t>
        </is>
      </c>
      <c r="D56" t="inlineStr">
        <is>
          <t>Site</t>
        </is>
      </c>
      <c r="E56" t="inlineStr">
        <is>
          <t>☐ Not Started</t>
        </is>
      </c>
    </row>
    <row r="57">
      <c r="A57">
        <f>IF(ISTEXT(B56), A56+1, A56)</f>
        <v/>
      </c>
      <c r="B57">
        <f>IF(ISTEXT(B56), 1, B56+1)</f>
        <v/>
      </c>
      <c r="C57" t="inlineStr">
        <is>
          <t>SCADA-specific corruptions: Common in SCADA tag integrations</t>
        </is>
      </c>
      <c r="D57" t="inlineStr">
        <is>
          <t>Site</t>
        </is>
      </c>
      <c r="E57" t="inlineStr">
        <is>
          <t>☐ Not Started</t>
        </is>
      </c>
    </row>
    <row r="58">
      <c r="A58">
        <f>IF(ISTEXT(B57), A57+1, A57)</f>
        <v/>
      </c>
      <c r="B58">
        <f>IF(ISTEXT(B57), 1, B57+1)</f>
        <v/>
      </c>
      <c r="C58" t="inlineStr">
        <is>
          <t>Notes corruption: May lose alarm help on re-import or notes look unprofessional</t>
        </is>
      </c>
      <c r="D58" t="inlineStr">
        <is>
          <t>Site</t>
        </is>
      </c>
      <c r="E58" t="inlineStr">
        <is>
          <t>☐ Not Started</t>
        </is>
      </c>
    </row>
    <row r="59">
      <c r="A59" s="5" t="n">
        <v>7</v>
      </c>
      <c r="B59" s="5" t="inlineStr">
        <is>
          <t>.1 M&amp;R Database Assessment</t>
        </is>
      </c>
    </row>
    <row r="60">
      <c r="A60">
        <f>IF(ISTEXT(B59), A59+1, A59)</f>
        <v/>
      </c>
      <c r="B60">
        <f>IF(ISTEXT(B59), 1, B59+1)</f>
        <v/>
      </c>
      <c r="C60" t="inlineStr">
        <is>
          <t>Asset alignment: Ensuring ACM, M&amp;R, and EAS EMDB consistency</t>
        </is>
      </c>
      <c r="D60" t="inlineStr">
        <is>
          <t>Site</t>
        </is>
      </c>
      <c r="E60" t="inlineStr">
        <is>
          <t>☐ Not Started</t>
        </is>
      </c>
    </row>
    <row r="61">
      <c r="A61">
        <f>IF(ISTEXT(B60), A60+1, A60)</f>
        <v/>
      </c>
      <c r="B61">
        <f>IF(ISTEXT(B60), 1, B60+1)</f>
        <v/>
      </c>
      <c r="C61" t="inlineStr">
        <is>
          <t>Path structure optimization</t>
        </is>
      </c>
      <c r="D61" t="inlineStr">
        <is>
          <t>Site</t>
        </is>
      </c>
      <c r="E61" t="inlineStr">
        <is>
          <t>☐ Not Started</t>
        </is>
      </c>
    </row>
    <row r="62">
      <c r="A62">
        <f>IF(ISTEXT(B61), A61+1, A61)</f>
        <v/>
      </c>
      <c r="B62">
        <f>IF(ISTEXT(B61), 1, B61+1)</f>
        <v/>
      </c>
      <c r="C62" t="inlineStr">
        <is>
          <t>New paths and reorganization opportunities</t>
        </is>
      </c>
      <c r="D62" t="inlineStr">
        <is>
          <t>Site</t>
        </is>
      </c>
      <c r="E62" t="inlineStr">
        <is>
          <t>☐ Not Started</t>
        </is>
      </c>
    </row>
    <row r="63">
      <c r="A63">
        <f>IF(ISTEXT(B62), A62+1, A62)</f>
        <v/>
      </c>
      <c r="B63">
        <f>IF(ISTEXT(B62), 1, B62+1)</f>
        <v/>
      </c>
      <c r="C63" t="inlineStr">
        <is>
          <t>Asset migration planning</t>
        </is>
      </c>
      <c r="D63" t="inlineStr">
        <is>
          <t>Site</t>
        </is>
      </c>
      <c r="E63" t="inlineStr">
        <is>
          <t>☐ Not Started</t>
        </is>
      </c>
    </row>
    <row r="64">
      <c r="A64">
        <f>IF(ISTEXT(B63), A63+1, A63)</f>
        <v/>
      </c>
      <c r="B64">
        <f>IF(ISTEXT(B63), 1, B63+1)</f>
        <v/>
      </c>
      <c r="C64" t="inlineStr">
        <is>
          <t>Addressing unassigned assets or incorrect assets assignments</t>
        </is>
      </c>
      <c r="D64" t="inlineStr">
        <is>
          <t>Site</t>
        </is>
      </c>
      <c r="E64" t="inlineStr">
        <is>
          <t>☐ Not Started</t>
        </is>
      </c>
    </row>
    <row r="65">
      <c r="A65" s="5" t="n">
        <v>8</v>
      </c>
      <c r="B65" s="5" t="inlineStr">
        <is>
          <t>.1 True License Requirement Calculation</t>
        </is>
      </c>
    </row>
    <row r="66">
      <c r="A66">
        <f>IF(ISTEXT(B65), A65+1, A65)</f>
        <v/>
      </c>
      <c r="B66">
        <f>IF(ISTEXT(B65), 1, B65+1)</f>
        <v/>
      </c>
      <c r="C66" t="inlineStr">
        <is>
          <t>Ghost tag identification and removal</t>
        </is>
      </c>
      <c r="D66" t="inlineStr">
        <is>
          <t>Site</t>
        </is>
      </c>
      <c r="E66" t="inlineStr">
        <is>
          <t>☐ Not Started</t>
        </is>
      </c>
    </row>
    <row r="67">
      <c r="A67">
        <f>IF(ISTEXT(B66), A66+1, A66)</f>
        <v/>
      </c>
      <c r="B67">
        <f>IF(ISTEXT(B66), 1, B66+1)</f>
        <v/>
      </c>
      <c r="C67" t="inlineStr">
        <is>
          <t>Invalid tag removal</t>
        </is>
      </c>
      <c r="D67" t="inlineStr">
        <is>
          <t>Site</t>
        </is>
      </c>
      <c r="E67" t="inlineStr">
        <is>
          <t>☐ Not Started</t>
        </is>
      </c>
    </row>
    <row r="68">
      <c r="A68">
        <f>IF(ISTEXT(B67), A67+1, A67)</f>
        <v/>
      </c>
      <c r="B68">
        <f>IF(ISTEXT(B67), 1, B67+1)</f>
        <v/>
      </c>
      <c r="C68" t="inlineStr">
        <is>
          <t>Merging consolidated tags</t>
        </is>
      </c>
      <c r="D68" t="inlineStr">
        <is>
          <t>Site</t>
        </is>
      </c>
      <c r="E68" t="inlineStr">
        <is>
          <t>☐ Not Started</t>
        </is>
      </c>
    </row>
    <row r="69">
      <c r="A69">
        <f>IF(ISTEXT(B68), A68+1, A68)</f>
        <v/>
      </c>
      <c r="B69">
        <f>IF(ISTEXT(B68), 1, B68+1)</f>
        <v/>
      </c>
      <c r="C69" t="inlineStr">
        <is>
          <t>License consumption projections</t>
        </is>
      </c>
      <c r="D69" t="inlineStr">
        <is>
          <t>Site</t>
        </is>
      </c>
      <c r="E69" t="inlineStr">
        <is>
          <t>☐ Not Started</t>
        </is>
      </c>
    </row>
    <row r="70">
      <c r="A70">
        <f>IF(ISTEXT(B69), A69+1, A69)</f>
        <v/>
      </c>
      <c r="B70">
        <f>IF(ISTEXT(B69), 1, B69+1)</f>
        <v/>
      </c>
      <c r="C70" t="inlineStr">
        <is>
          <t>Cost impact analysis</t>
        </is>
      </c>
      <c r="D70" t="inlineStr">
        <is>
          <t>Site</t>
        </is>
      </c>
      <c r="E70" t="inlineStr">
        <is>
          <t>☐ Not Started</t>
        </is>
      </c>
    </row>
    <row r="71">
      <c r="A71" s="5" t="n">
        <v>9</v>
      </c>
      <c r="B71" s="5" t="inlineStr">
        <is>
          <t>.2 License Ordering Strategy</t>
        </is>
      </c>
    </row>
    <row r="72">
      <c r="A72">
        <f>IF(ISTEXT(B71), A71+1, A71)</f>
        <v/>
      </c>
      <c r="B72">
        <f>IF(ISTEXT(B71), 1, B71+1)</f>
        <v/>
      </c>
      <c r="C72" t="inlineStr">
        <is>
          <t>CRITICAL: Cannot reclaim licenses after ordering</t>
        </is>
      </c>
      <c r="D72" t="inlineStr">
        <is>
          <t>Site</t>
        </is>
      </c>
      <c r="E72" t="inlineStr">
        <is>
          <t>☐ Not Started</t>
        </is>
      </c>
    </row>
    <row r="73">
      <c r="A73">
        <f>IF(ISTEXT(B72), A72+1, A72)</f>
        <v/>
      </c>
      <c r="B73">
        <f>IF(ISTEXT(B72), 1, B72+1)</f>
        <v/>
      </c>
      <c r="C73" t="inlineStr">
        <is>
          <t>Validation procedures before license order</t>
        </is>
      </c>
      <c r="D73" t="inlineStr">
        <is>
          <t>Site</t>
        </is>
      </c>
      <c r="E73" t="inlineStr">
        <is>
          <t>☐ Not Started</t>
        </is>
      </c>
    </row>
    <row r="74">
      <c r="A74">
        <f>IF(ISTEXT(B73), A73+1, A73)</f>
        <v/>
      </c>
      <c r="B74">
        <f>IF(ISTEXT(B73), 1, B73+1)</f>
        <v/>
      </c>
      <c r="C74" t="inlineStr">
        <is>
          <t>Contingency buffer (recommended: 5-10%)</t>
        </is>
      </c>
      <c r="D74" t="inlineStr">
        <is>
          <t>Site</t>
        </is>
      </c>
      <c r="E74" t="inlineStr">
        <is>
          <t>☐ Not Started</t>
        </is>
      </c>
    </row>
    <row r="75">
      <c r="A75">
        <f>IF(ISTEXT(B74), A74+1, A74)</f>
        <v/>
      </c>
      <c r="B75">
        <f>IF(ISTEXT(B74), 1, B74+1)</f>
        <v/>
      </c>
      <c r="C75" t="inlineStr">
        <is>
          <t>License type selection (permanent vs. term)</t>
        </is>
      </c>
      <c r="D75" t="inlineStr">
        <is>
          <t>Site</t>
        </is>
      </c>
      <c r="E75" t="inlineStr">
        <is>
          <t>☐ Not Started</t>
        </is>
      </c>
    </row>
    <row r="76">
      <c r="A76" s="5" t="n">
        <v>10</v>
      </c>
      <c r="B76" s="5" t="inlineStr">
        <is>
          <t>.1 Alarm Help Configuration</t>
        </is>
      </c>
    </row>
    <row r="77">
      <c r="A77">
        <f>IF(ISTEXT(B76), A76+1, A76)</f>
        <v/>
      </c>
      <c r="B77">
        <f>IF(ISTEXT(B76), 1, B76+1)</f>
        <v/>
      </c>
      <c r="C77" t="inlineStr">
        <is>
          <t>Alarm Help Router connections</t>
        </is>
      </c>
      <c r="D77" t="inlineStr">
        <is>
          <t>Site</t>
        </is>
      </c>
      <c r="E77" t="inlineStr">
        <is>
          <t>☐ Not Started</t>
        </is>
      </c>
    </row>
    <row r="78">
      <c r="A78">
        <f>IF(ISTEXT(B77), A77+1, A77)</f>
        <v/>
      </c>
      <c r="B78">
        <f>IF(ISTEXT(B77), 1, B77+1)</f>
        <v/>
      </c>
      <c r="C78" t="inlineStr">
        <is>
          <t>Alarm Help content dependencies</t>
        </is>
      </c>
      <c r="D78" t="inlineStr">
        <is>
          <t>Site</t>
        </is>
      </c>
      <c r="E78" t="inlineStr">
        <is>
          <t>☐ Not Started</t>
        </is>
      </c>
    </row>
    <row r="79">
      <c r="A79">
        <f>IF(ISTEXT(B78), A78+1, A78)</f>
        <v/>
      </c>
      <c r="B79">
        <f>IF(ISTEXT(B78), 1, B78+1)</f>
        <v/>
      </c>
      <c r="C79" t="inlineStr">
        <is>
          <t>Custom Alarm Help integrations</t>
        </is>
      </c>
      <c r="D79" t="inlineStr">
        <is>
          <t>Site</t>
        </is>
      </c>
      <c r="E79" t="inlineStr">
        <is>
          <t>☐ Not Started</t>
        </is>
      </c>
    </row>
    <row r="80">
      <c r="A80">
        <f>IF(ISTEXT(B79), A79+1, A79)</f>
        <v/>
      </c>
      <c r="B80">
        <f>IF(ISTEXT(B79), 1, B79+1)</f>
        <v/>
      </c>
      <c r="C80" t="inlineStr">
        <is>
          <t>Migration impact on Alarm Help availability</t>
        </is>
      </c>
      <c r="D80" t="inlineStr">
        <is>
          <t>Site</t>
        </is>
      </c>
      <c r="E80" t="inlineStr">
        <is>
          <t>☐ Not Started</t>
        </is>
      </c>
    </row>
    <row r="81">
      <c r="A81" s="5" t="n">
        <v>11</v>
      </c>
      <c r="B81" s="5" t="inlineStr">
        <is>
          <t>.2 Enforcement Dependencies</t>
        </is>
      </c>
    </row>
    <row r="82">
      <c r="A82">
        <f>IF(ISTEXT(B81), A81+1, A81)</f>
        <v/>
      </c>
      <c r="B82">
        <f>IF(ISTEXT(B81), 1, B81+1)</f>
        <v/>
      </c>
      <c r="C82" t="inlineStr">
        <is>
          <t>Static enforcement mappings</t>
        </is>
      </c>
      <c r="D82" t="inlineStr">
        <is>
          <t>Site</t>
        </is>
      </c>
      <c r="E82" t="inlineStr">
        <is>
          <t>☐ Not Started</t>
        </is>
      </c>
    </row>
    <row r="83">
      <c r="A83">
        <f>IF(ISTEXT(B82), A82+1, A82)</f>
        <v/>
      </c>
      <c r="B83">
        <f>IF(ISTEXT(B82), 1, B82+1)</f>
        <v/>
      </c>
      <c r="C83" t="inlineStr">
        <is>
          <t>Dynamic mode enforcements (highest risk)</t>
        </is>
      </c>
      <c r="D83" t="inlineStr">
        <is>
          <t>Site</t>
        </is>
      </c>
      <c r="E83" t="inlineStr">
        <is>
          <t>☐ Not Started</t>
        </is>
      </c>
    </row>
    <row r="84">
      <c r="A84">
        <f>IF(ISTEXT(B83), A83+1, A83)</f>
        <v/>
      </c>
      <c r="B84">
        <f>IF(ISTEXT(B83), 1, B83+1)</f>
        <v/>
      </c>
      <c r="C84" t="inlineStr">
        <is>
          <t>Console-specific enforcements</t>
        </is>
      </c>
      <c r="D84" t="inlineStr">
        <is>
          <t>Site</t>
        </is>
      </c>
      <c r="E84" t="inlineStr">
        <is>
          <t>☐ Not Started</t>
        </is>
      </c>
    </row>
    <row r="85">
      <c r="A85">
        <f>IF(ISTEXT(B84), A84+1, A84)</f>
        <v/>
      </c>
      <c r="B85">
        <f>IF(ISTEXT(B84), 1, B84+1)</f>
        <v/>
      </c>
      <c r="C85" t="inlineStr">
        <is>
          <t>"Reverse enforcement" scenarios (DCS is master)</t>
        </is>
      </c>
      <c r="D85" t="inlineStr">
        <is>
          <t>Site</t>
        </is>
      </c>
      <c r="E85" t="inlineStr">
        <is>
          <t>☐ Not Started</t>
        </is>
      </c>
    </row>
    <row r="86">
      <c r="A86">
        <f>IF(ISTEXT(B85), A85+1, A85)</f>
        <v/>
      </c>
      <c r="B86">
        <f>IF(ISTEXT(B85), 1, B85+1)</f>
        <v/>
      </c>
      <c r="C86" t="inlineStr">
        <is>
          <t>Example: Dead Band Units controlled only on DCS</t>
        </is>
      </c>
      <c r="D86" t="inlineStr">
        <is>
          <t>Site</t>
        </is>
      </c>
      <c r="E86" t="inlineStr">
        <is>
          <t>☐ Not Started</t>
        </is>
      </c>
    </row>
    <row r="87">
      <c r="A87">
        <f>IF(ISTEXT(B86), A86+1, A86)</f>
        <v/>
      </c>
      <c r="B87">
        <f>IF(ISTEXT(B86), 1, B86+1)</f>
        <v/>
      </c>
      <c r="C87" t="inlineStr">
        <is>
          <t>Custom enforcement rules requiring special handling</t>
        </is>
      </c>
      <c r="D87" t="inlineStr">
        <is>
          <t>Site</t>
        </is>
      </c>
      <c r="E87" t="inlineStr">
        <is>
          <t>☐ Not Started</t>
        </is>
      </c>
    </row>
    <row r="88">
      <c r="A88" s="5" t="n">
        <v>12</v>
      </c>
      <c r="B88" s="5" t="inlineStr">
        <is>
          <t>.3 Reporting and Integration Dependencies</t>
        </is>
      </c>
    </row>
    <row r="89">
      <c r="A89">
        <f>IF(ISTEXT(B88), A88+1, A88)</f>
        <v/>
      </c>
      <c r="B89">
        <f>IF(ISTEXT(B88), 1, B88+1)</f>
        <v/>
      </c>
      <c r="C89" t="inlineStr">
        <is>
          <t>M&amp;R reporting schedules and dependencies</t>
        </is>
      </c>
      <c r="D89" t="inlineStr">
        <is>
          <t>Site</t>
        </is>
      </c>
      <c r="E89" t="inlineStr">
        <is>
          <t>☐ Not Started</t>
        </is>
      </c>
    </row>
    <row r="90">
      <c r="A90">
        <f>IF(ISTEXT(B89), A89+1, A89)</f>
        <v/>
      </c>
      <c r="B90">
        <f>IF(ISTEXT(B89), 1, B89+1)</f>
        <v/>
      </c>
      <c r="C90" t="inlineStr">
        <is>
          <t>Custom reports and dashboards</t>
        </is>
      </c>
      <c r="D90" t="inlineStr">
        <is>
          <t>Site</t>
        </is>
      </c>
      <c r="E90" t="inlineStr">
        <is>
          <t>☐ Not Started</t>
        </is>
      </c>
    </row>
    <row r="91">
      <c r="A91">
        <f>IF(ISTEXT(B90), A90+1, A90)</f>
        <v/>
      </c>
      <c r="B91">
        <f>IF(ISTEXT(B90), 1, B90+1)</f>
        <v/>
      </c>
      <c r="C91" t="inlineStr">
        <is>
          <t>Third-party system integrations</t>
        </is>
      </c>
      <c r="D91" t="inlineStr">
        <is>
          <t>Site</t>
        </is>
      </c>
      <c r="E91" t="inlineStr">
        <is>
          <t>☐ Not Started</t>
        </is>
      </c>
    </row>
    <row r="92">
      <c r="A92">
        <f>IF(ISTEXT(B91), A91+1, A91)</f>
        <v/>
      </c>
      <c r="B92">
        <f>IF(ISTEXT(B91), 1, B91+1)</f>
        <v/>
      </c>
      <c r="C92" t="inlineStr">
        <is>
          <t>Data exports and interfaces</t>
        </is>
      </c>
      <c r="D92" t="inlineStr">
        <is>
          <t>Site</t>
        </is>
      </c>
      <c r="E92" t="inlineStr">
        <is>
          <t>☐ Not Started</t>
        </is>
      </c>
    </row>
    <row r="93">
      <c r="A93" s="5" t="n">
        <v>13</v>
      </c>
      <c r="B93" s="5" t="inlineStr">
        <is>
          <t>.1 Establishing Temporary ACM Environment</t>
        </is>
      </c>
    </row>
    <row r="94">
      <c r="A94">
        <f>IF(ISTEXT(B93), A93+1, A93)</f>
        <v/>
      </c>
      <c r="B94">
        <f>IF(ISTEXT(B93), 1, B93+1)</f>
        <v/>
      </c>
      <c r="C94" t="inlineStr">
        <is>
          <t>Installing temporary Manager Server</t>
        </is>
      </c>
      <c r="D94" t="inlineStr">
        <is>
          <t>Site</t>
        </is>
      </c>
      <c r="E94" t="inlineStr">
        <is>
          <t>☐ Not Started</t>
        </is>
      </c>
    </row>
    <row r="95">
      <c r="A95">
        <f>IF(ISTEXT(B94), A94+1, A94)</f>
        <v/>
      </c>
      <c r="B95">
        <f>IF(ISTEXT(B94), 1, B94+1)</f>
        <v/>
      </c>
      <c r="C95" t="inlineStr">
        <is>
          <t>Installing temporary Enforcer Server (can be on client/station)</t>
        </is>
      </c>
      <c r="D95" t="inlineStr">
        <is>
          <t>Site</t>
        </is>
      </c>
      <c r="E95" t="inlineStr">
        <is>
          <t>☐ Not Started</t>
        </is>
      </c>
    </row>
    <row r="96">
      <c r="A96">
        <f>IF(ISTEXT(B95), A95+1, A95)</f>
        <v/>
      </c>
      <c r="B96">
        <f>IF(ISTEXT(B95), 1, B95+1)</f>
        <v/>
      </c>
      <c r="C96" t="inlineStr">
        <is>
          <t>Purpose: Allow cleanup without affecting production operations</t>
        </is>
      </c>
      <c r="D96" t="inlineStr">
        <is>
          <t>Site</t>
        </is>
      </c>
      <c r="E96" t="inlineStr">
        <is>
          <t>☐ Not Started</t>
        </is>
      </c>
    </row>
    <row r="97">
      <c r="A97">
        <f>IF(ISTEXT(B96), A96+1, A96)</f>
        <v/>
      </c>
      <c r="B97">
        <f>IF(ISTEXT(B96), 1, B96+1)</f>
        <v/>
      </c>
      <c r="C97" t="inlineStr">
        <is>
          <t>Maintaining Alarm Help and enforcement availability</t>
        </is>
      </c>
      <c r="D97" t="inlineStr">
        <is>
          <t>Site</t>
        </is>
      </c>
      <c r="E97" t="inlineStr">
        <is>
          <t>☐ Not Started</t>
        </is>
      </c>
    </row>
    <row r="98">
      <c r="A98" s="5" t="n">
        <v>14</v>
      </c>
      <c r="B98" s="5" t="inlineStr">
        <is>
          <t>.2 Step-by-Step ACM Cleanup</t>
        </is>
      </c>
    </row>
    <row r="99">
      <c r="A99">
        <f>IF(ISTEXT(B98), A98+1, A98)</f>
        <v/>
      </c>
      <c r="B99">
        <f>IF(ISTEXT(B98), 1, B98+1)</f>
        <v/>
      </c>
      <c r="C99" t="inlineStr">
        <is>
          <t>Corrupted notes</t>
        </is>
      </c>
      <c r="D99" t="inlineStr">
        <is>
          <t>Site</t>
        </is>
      </c>
      <c r="E99" t="inlineStr">
        <is>
          <t>☐ Not Started</t>
        </is>
      </c>
    </row>
    <row r="100">
      <c r="A100">
        <f>IF(ISTEXT(B99), A99+1, A99)</f>
        <v/>
      </c>
      <c r="B100">
        <f>IF(ISTEXT(B99), 1, B99+1)</f>
        <v/>
      </c>
      <c r="C100" t="inlineStr">
        <is>
          <t>Invalid parameters</t>
        </is>
      </c>
      <c r="D100" t="inlineStr">
        <is>
          <t>Site</t>
        </is>
      </c>
      <c r="E100" t="inlineStr">
        <is>
          <t>☐ Not Started</t>
        </is>
      </c>
    </row>
    <row r="101">
      <c r="A101" s="5" t="n">
        <v>15</v>
      </c>
      <c r="B101" s="5" t="inlineStr">
        <is>
          <t>.3 M&amp;R Database Optimization</t>
        </is>
      </c>
    </row>
    <row r="102">
      <c r="A102">
        <f>IF(ISTEXT(B101), A101+1, A101)</f>
        <v/>
      </c>
      <c r="B102">
        <f>IF(ISTEXT(B101), 1, B101+1)</f>
        <v/>
      </c>
      <c r="C102" t="inlineStr">
        <is>
          <t>Hierarchy optimization</t>
        </is>
      </c>
      <c r="D102" t="inlineStr">
        <is>
          <t>Site</t>
        </is>
      </c>
      <c r="E102" t="inlineStr">
        <is>
          <t>☐ Not Started</t>
        </is>
      </c>
    </row>
    <row r="103">
      <c r="A103">
        <f>IF(ISTEXT(B102), A102+1, A102)</f>
        <v/>
      </c>
      <c r="B103">
        <f>IF(ISTEXT(B102), 1, B102+1)</f>
        <v/>
      </c>
      <c r="C103" t="inlineStr">
        <is>
          <t>Ghost tag removal procedures</t>
        </is>
      </c>
      <c r="D103" t="inlineStr">
        <is>
          <t>Site</t>
        </is>
      </c>
      <c r="E103" t="inlineStr">
        <is>
          <t>☐ Not Started</t>
        </is>
      </c>
    </row>
    <row r="104">
      <c r="A104">
        <f>IF(ISTEXT(B103), A103+1, A103)</f>
        <v/>
      </c>
      <c r="B104">
        <f>IF(ISTEXT(B103), 1, B103+1)</f>
        <v/>
      </c>
      <c r="C104" t="inlineStr">
        <is>
          <t>Asset cleanup and consolidation</t>
        </is>
      </c>
      <c r="D104" t="inlineStr">
        <is>
          <t>Site</t>
        </is>
      </c>
      <c r="E104" t="inlineStr">
        <is>
          <t>☐ Not Started</t>
        </is>
      </c>
    </row>
    <row r="105">
      <c r="A105">
        <f>IF(ISTEXT(B104), A104+1, A104)</f>
        <v/>
      </c>
      <c r="B105">
        <f>IF(ISTEXT(B104), 1, B104+1)</f>
        <v/>
      </c>
      <c r="C105" t="inlineStr">
        <is>
          <t>Performance optimization (closing invalid alarms, etc.)</t>
        </is>
      </c>
      <c r="D105" t="inlineStr">
        <is>
          <t>Site</t>
        </is>
      </c>
      <c r="E105" t="inlineStr">
        <is>
          <t>☐ Not Started</t>
        </is>
      </c>
    </row>
    <row r="106">
      <c r="A106">
        <f>IF(ISTEXT(B105), A105+1, A105)</f>
        <v/>
      </c>
      <c r="B106">
        <f>IF(ISTEXT(B105), 1, B105+1)</f>
        <v/>
      </c>
      <c r="C106" t="inlineStr">
        <is>
          <t>Retention adjustment implementation</t>
        </is>
      </c>
      <c r="D106" t="inlineStr">
        <is>
          <t>Site</t>
        </is>
      </c>
      <c r="E106" t="inlineStr">
        <is>
          <t>☐ Not Started</t>
        </is>
      </c>
    </row>
    <row r="107">
      <c r="A107" s="5" t="n">
        <v>16</v>
      </c>
      <c r="B107" s="5" t="inlineStr">
        <is>
          <t>.4 Validation and Quality Assurance</t>
        </is>
      </c>
    </row>
    <row r="108">
      <c r="A108">
        <f>IF(ISTEXT(B107), A107+1, A107)</f>
        <v/>
      </c>
      <c r="B108">
        <f>IF(ISTEXT(B107), 1, B107+1)</f>
        <v/>
      </c>
      <c r="C108" t="inlineStr">
        <is>
          <t>Pre-cleanup baseline metrics</t>
        </is>
      </c>
      <c r="D108" t="inlineStr">
        <is>
          <t>Site</t>
        </is>
      </c>
      <c r="E108" t="inlineStr">
        <is>
          <t>☐ Not Started</t>
        </is>
      </c>
    </row>
    <row r="109">
      <c r="A109">
        <f>IF(ISTEXT(B108), A108+1, A108)</f>
        <v/>
      </c>
      <c r="B109">
        <f>IF(ISTEXT(B108), 1, B108+1)</f>
        <v/>
      </c>
      <c r="C109" t="inlineStr">
        <is>
          <t>Post-cleanup validation</t>
        </is>
      </c>
      <c r="D109" t="inlineStr">
        <is>
          <t>Site</t>
        </is>
      </c>
      <c r="E109" t="inlineStr">
        <is>
          <t>☐ Not Started</t>
        </is>
      </c>
    </row>
    <row r="110">
      <c r="A110">
        <f>IF(ISTEXT(B109), A109+1, A109)</f>
        <v/>
      </c>
      <c r="B110">
        <f>IF(ISTEXT(B109), 1, B109+1)</f>
        <v/>
      </c>
      <c r="C110" t="inlineStr">
        <is>
          <t>Test enforcements and alarm help</t>
        </is>
      </c>
      <c r="D110" t="inlineStr">
        <is>
          <t>Site</t>
        </is>
      </c>
      <c r="E110" t="inlineStr">
        <is>
          <t>☐ Not Started</t>
        </is>
      </c>
    </row>
    <row r="111">
      <c r="A111">
        <f>IF(ISTEXT(B110), A110+1, A110)</f>
        <v/>
      </c>
      <c r="B111">
        <f>IF(ISTEXT(B110), 1, B110+1)</f>
        <v/>
      </c>
      <c r="C111" t="inlineStr">
        <is>
          <t>Reporting validation</t>
        </is>
      </c>
      <c r="D111" t="inlineStr">
        <is>
          <t>Site</t>
        </is>
      </c>
      <c r="E111" t="inlineStr">
        <is>
          <t>☐ Not Started</t>
        </is>
      </c>
    </row>
    <row r="112">
      <c r="A112">
        <f>IF(ISTEXT(B111), A111+1, A111)</f>
        <v/>
      </c>
      <c r="B112">
        <f>IF(ISTEXT(B111), 1, B111+1)</f>
        <v/>
      </c>
      <c r="C112" t="inlineStr">
        <is>
          <t>Sign-off criteria for migration readiness</t>
        </is>
      </c>
      <c r="D112" t="inlineStr">
        <is>
          <t>Site</t>
        </is>
      </c>
      <c r="E112" t="inlineStr">
        <is>
          <t>☐ Not Started</t>
        </is>
      </c>
    </row>
  </sheetData>
  <conditionalFormatting sqref="D2:D112">
    <cfRule type="cellIs" priority="1" operator="equal" dxfId="0">
      <formula>"Custom"</formula>
    </cfRule>
    <cfRule type="cellIs" priority="2" operator="equal" dxfId="1">
      <formula>"Vendor"</formula>
    </cfRule>
    <cfRule type="cellIs" priority="3" operator="equal" dxfId="2">
      <formula>"IT\\OT"</formula>
    </cfRule>
    <cfRule type="cellIs" priority="4" operator="equal" dxfId="2">
      <formula>"IT/OT"</formula>
    </cfRule>
    <cfRule type="cellIs" priority="5" operator="equal" dxfId="3">
      <formula>"Site"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60" customWidth="1" min="3" max="3"/>
    <col width="12" customWidth="1" min="4" max="4"/>
    <col width="15" customWidth="1" min="5" max="5"/>
    <col width="30" customWidth="1" min="6" max="6"/>
    <col width="15" customWidth="1" min="7" max="7"/>
  </cols>
  <sheetData>
    <row r="1">
      <c r="A1" s="4" t="inlineStr">
        <is>
          <t>#</t>
        </is>
      </c>
      <c r="B1" s="4" t="inlineStr">
        <is>
          <t>Item #</t>
        </is>
      </c>
      <c r="C1" s="4" t="inlineStr">
        <is>
          <t>Task</t>
        </is>
      </c>
      <c r="D1" s="4" t="inlineStr">
        <is>
          <t>Owner</t>
        </is>
      </c>
      <c r="E1" s="4" t="inlineStr">
        <is>
          <t>Status</t>
        </is>
      </c>
      <c r="F1" s="4" t="inlineStr">
        <is>
          <t>Notes</t>
        </is>
      </c>
      <c r="G1" s="4" t="inlineStr">
        <is>
          <t>Prerequisites</t>
        </is>
      </c>
    </row>
    <row r="2">
      <c r="A2" s="5" t="n">
        <v>1</v>
      </c>
      <c r="B2" s="5" t="inlineStr">
        <is>
          <t>Cleanup Tasks</t>
        </is>
      </c>
    </row>
    <row r="3">
      <c r="A3">
        <f>IF(ISTEXT(B2), A2+1, A2)</f>
        <v/>
      </c>
      <c r="B3">
        <f>IF(ISTEXT(B2), 1, B2+1)</f>
        <v/>
      </c>
      <c r="C3" t="inlineStr">
        <is>
          <t>ACM Cleanup</t>
        </is>
      </c>
    </row>
    <row r="4">
      <c r="A4">
        <f>IF(ISTEXT(B3), A3+1, A3)</f>
        <v/>
      </c>
      <c r="B4">
        <f>IF(ISTEXT(B3), 1, B3+1)</f>
        <v/>
      </c>
      <c r="C4" t="inlineStr">
        <is>
          <t>Remove ghost tags and orphaned entries</t>
        </is>
      </c>
      <c r="D4" t="inlineStr">
        <is>
          <t>Site</t>
        </is>
      </c>
      <c r="E4" t="inlineStr">
        <is>
          <t>☐ Not Started</t>
        </is>
      </c>
    </row>
    <row r="5">
      <c r="A5">
        <f>IF(ISTEXT(B4), A4+1, A4)</f>
        <v/>
      </c>
      <c r="B5">
        <f>IF(ISTEXT(B4), 1, B4+1)</f>
        <v/>
      </c>
      <c r="C5" t="inlineStr">
        <is>
          <t>Fix hierarchy corruptions</t>
        </is>
      </c>
      <c r="D5" t="inlineStr">
        <is>
          <t>Site</t>
        </is>
      </c>
      <c r="E5" t="inlineStr">
        <is>
          <t>☐ Not Started</t>
        </is>
      </c>
    </row>
    <row r="6">
      <c r="A6">
        <f>IF(ISTEXT(B5), A5+1, A5)</f>
        <v/>
      </c>
      <c r="B6">
        <f>IF(ISTEXT(B5), 1, B5+1)</f>
        <v/>
      </c>
      <c r="C6" t="inlineStr">
        <is>
          <t>HAMR Cleanup</t>
        </is>
      </c>
    </row>
    <row r="7">
      <c r="A7">
        <f>IF(ISTEXT(B6), A6+1, A6)</f>
        <v/>
      </c>
      <c r="B7">
        <f>IF(ISTEXT(B6), 1, B6+1)</f>
        <v/>
      </c>
      <c r="C7" t="inlineStr">
        <is>
          <t>Install HAMR 2.3.0+ before APO</t>
        </is>
      </c>
      <c r="D7" t="inlineStr">
        <is>
          <t>Vendor</t>
        </is>
      </c>
      <c r="E7" t="inlineStr">
        <is>
          <t>☐ Not Started</t>
        </is>
      </c>
    </row>
    <row r="8">
      <c r="A8">
        <f>IF(ISTEXT(B7), A7+1, A7)</f>
        <v/>
      </c>
      <c r="B8">
        <f>IF(ISTEXT(B7), 1, B7+1)</f>
        <v/>
      </c>
      <c r="C8" t="inlineStr">
        <is>
          <t>Remove ghost tags from HAMR database</t>
        </is>
      </c>
      <c r="D8" t="inlineStr">
        <is>
          <t>Site</t>
        </is>
      </c>
      <c r="E8" t="inlineStr">
        <is>
          <t>☐ Not Started</t>
        </is>
      </c>
    </row>
  </sheetData>
  <conditionalFormatting sqref="D2:D8">
    <cfRule type="cellIs" priority="1" operator="equal" dxfId="0">
      <formula>"Custom"</formula>
    </cfRule>
    <cfRule type="cellIs" priority="2" operator="equal" dxfId="1">
      <formula>"Vendor"</formula>
    </cfRule>
    <cfRule type="cellIs" priority="3" operator="equal" dxfId="2">
      <formula>"IT\\OT"</formula>
    </cfRule>
    <cfRule type="cellIs" priority="4" operator="equal" dxfId="2">
      <formula>"IT/OT"</formula>
    </cfRule>
    <cfRule type="cellIs" priority="5" operator="equal" dxfId="3">
      <formula>"Site"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60" customWidth="1" min="3" max="3"/>
    <col width="12" customWidth="1" min="4" max="4"/>
    <col width="15" customWidth="1" min="5" max="5"/>
    <col width="30" customWidth="1" min="6" max="6"/>
    <col width="15" customWidth="1" min="7" max="7"/>
  </cols>
  <sheetData>
    <row r="1">
      <c r="A1" s="4" t="inlineStr">
        <is>
          <t>#</t>
        </is>
      </c>
      <c r="B1" s="4" t="inlineStr">
        <is>
          <t>Item #</t>
        </is>
      </c>
      <c r="C1" s="4" t="inlineStr">
        <is>
          <t>Task</t>
        </is>
      </c>
      <c r="D1" s="4" t="inlineStr">
        <is>
          <t>Owner</t>
        </is>
      </c>
      <c r="E1" s="4" t="inlineStr">
        <is>
          <t>Status</t>
        </is>
      </c>
      <c r="F1" s="4" t="inlineStr">
        <is>
          <t>Notes</t>
        </is>
      </c>
      <c r="G1" s="4" t="inlineStr">
        <is>
          <t>Prerequisites</t>
        </is>
      </c>
    </row>
    <row r="2">
      <c r="A2" s="5" t="n">
        <v>1</v>
      </c>
      <c r="B2" s="5" t="inlineStr">
        <is>
          <t>Custom Solution Tasks</t>
        </is>
      </c>
    </row>
    <row r="3">
      <c r="A3">
        <f>IF(ISTEXT(B2), A2+1, A2)</f>
        <v/>
      </c>
      <c r="B3">
        <f>IF(ISTEXT(B2), 1, B2+1)</f>
        <v/>
      </c>
      <c r="C3" t="inlineStr">
        <is>
          <t>Gap Analysis</t>
        </is>
      </c>
    </row>
    <row r="4">
      <c r="A4">
        <f>IF(ISTEXT(B3), A3+1, A3)</f>
        <v/>
      </c>
      <c r="B4">
        <f>IF(ISTEXT(B3), 1, B3+1)</f>
        <v/>
      </c>
      <c r="C4" t="inlineStr">
        <is>
          <t>Identify ACM→APO feature gaps</t>
        </is>
      </c>
      <c r="D4" t="inlineStr">
        <is>
          <t>Site</t>
        </is>
      </c>
      <c r="E4" t="inlineStr">
        <is>
          <t>☐ Not Started</t>
        </is>
      </c>
    </row>
    <row r="5">
      <c r="A5">
        <f>IF(ISTEXT(B4), A4+1, A4)</f>
        <v/>
      </c>
      <c r="B5">
        <f>IF(ISTEXT(B4), 1, B4+1)</f>
        <v/>
      </c>
      <c r="C5" t="inlineStr">
        <is>
          <t>Custom Tools</t>
        </is>
      </c>
    </row>
    <row r="6">
      <c r="A6">
        <f>IF(ISTEXT(B5), A5+1, A5)</f>
        <v/>
      </c>
      <c r="B6">
        <f>IF(ISTEXT(B5), 1, B5+1)</f>
        <v/>
      </c>
      <c r="C6" t="inlineStr">
        <is>
          <t>Develop tag export/import tools</t>
        </is>
      </c>
      <c r="D6" t="inlineStr">
        <is>
          <t>Custom</t>
        </is>
      </c>
      <c r="E6" t="inlineStr">
        <is>
          <t>☐ Not Started</t>
        </is>
      </c>
    </row>
    <row r="7">
      <c r="A7">
        <f>IF(ISTEXT(B6), A6+1, A6)</f>
        <v/>
      </c>
      <c r="B7">
        <f>IF(ISTEXT(B6), 1, B6+1)</f>
        <v/>
      </c>
      <c r="C7" t="inlineStr">
        <is>
          <t>Health Checks</t>
        </is>
      </c>
    </row>
    <row r="8">
      <c r="A8">
        <f>IF(ISTEXT(B7), A7+1, A7)</f>
        <v/>
      </c>
      <c r="B8">
        <f>IF(ISTEXT(B7), 1, B7+1)</f>
        <v/>
      </c>
      <c r="C8" t="inlineStr">
        <is>
          <t>Implement daily health check scripts</t>
        </is>
      </c>
      <c r="D8" t="inlineStr">
        <is>
          <t>Custom</t>
        </is>
      </c>
      <c r="E8" t="inlineStr">
        <is>
          <t>☐ Not Started</t>
        </is>
      </c>
    </row>
  </sheetData>
  <conditionalFormatting sqref="D2:D8">
    <cfRule type="cellIs" priority="1" operator="equal" dxfId="0">
      <formula>"Custom"</formula>
    </cfRule>
    <cfRule type="cellIs" priority="2" operator="equal" dxfId="1">
      <formula>"Vendor"</formula>
    </cfRule>
    <cfRule type="cellIs" priority="3" operator="equal" dxfId="2">
      <formula>"IT\\OT"</formula>
    </cfRule>
    <cfRule type="cellIs" priority="4" operator="equal" dxfId="2">
      <formula>"IT/OT"</formula>
    </cfRule>
    <cfRule type="cellIs" priority="5" operator="equal" dxfId="3">
      <formula>"Site"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60" customWidth="1" min="3" max="3"/>
    <col width="12" customWidth="1" min="4" max="4"/>
    <col width="15" customWidth="1" min="5" max="5"/>
    <col width="30" customWidth="1" min="6" max="6"/>
    <col width="15" customWidth="1" min="7" max="7"/>
  </cols>
  <sheetData>
    <row r="1">
      <c r="A1" s="4" t="inlineStr">
        <is>
          <t>#</t>
        </is>
      </c>
      <c r="B1" s="4" t="inlineStr">
        <is>
          <t>Item #</t>
        </is>
      </c>
      <c r="C1" s="4" t="inlineStr">
        <is>
          <t>Task</t>
        </is>
      </c>
      <c r="D1" s="4" t="inlineStr">
        <is>
          <t>Owner</t>
        </is>
      </c>
      <c r="E1" s="4" t="inlineStr">
        <is>
          <t>Status</t>
        </is>
      </c>
      <c r="F1" s="4" t="inlineStr">
        <is>
          <t>Notes</t>
        </is>
      </c>
      <c r="G1" s="4" t="inlineStr">
        <is>
          <t>Prerequisites</t>
        </is>
      </c>
    </row>
    <row r="2">
      <c r="A2" s="5" t="n">
        <v>1</v>
      </c>
      <c r="B2" s="5" t="inlineStr">
        <is>
          <t>Installation Planning Tasks</t>
        </is>
      </c>
    </row>
    <row r="3">
      <c r="A3" s="5" t="n">
        <v>2</v>
      </c>
      <c r="B3" s="5" t="inlineStr">
        <is>
          <t>.1 Infrastructure Requirements</t>
        </is>
      </c>
    </row>
    <row r="4">
      <c r="A4">
        <f>IF(ISTEXT(B3), A3+1, A3)</f>
        <v/>
      </c>
      <c r="B4">
        <f>IF(ISTEXT(B3), 1, B3+1)</f>
        <v/>
      </c>
      <c r="C4" t="inlineStr">
        <is>
          <t>Server specifications (APO Site Server, Transfer Service)</t>
        </is>
      </c>
      <c r="D4" t="inlineStr">
        <is>
          <t>IT/OT</t>
        </is>
      </c>
      <c r="E4" t="inlineStr">
        <is>
          <t>☐ Not Started</t>
        </is>
      </c>
    </row>
    <row r="5">
      <c r="A5">
        <f>IF(ISTEXT(B4), A4+1, A4)</f>
        <v/>
      </c>
      <c r="B5">
        <f>IF(ISTEXT(B4), 1, B4+1)</f>
        <v/>
      </c>
      <c r="C5" t="inlineStr">
        <is>
          <t>Network requirements (connectivity to DCS, database servers)</t>
        </is>
      </c>
      <c r="D5" t="inlineStr">
        <is>
          <t>IT/OT</t>
        </is>
      </c>
      <c r="E5" t="inlineStr">
        <is>
          <t>☐ Not Started</t>
        </is>
      </c>
    </row>
    <row r="6">
      <c r="A6">
        <f>IF(ISTEXT(B5), A5+1, A5)</f>
        <v/>
      </c>
      <c r="B6">
        <f>IF(ISTEXT(B5), 1, B5+1)</f>
        <v/>
      </c>
      <c r="C6" t="inlineStr">
        <is>
          <t>Storage requirements and growth planning</t>
        </is>
      </c>
      <c r="D6" t="inlineStr">
        <is>
          <t>Site</t>
        </is>
      </c>
      <c r="E6" t="inlineStr">
        <is>
          <t>☐ Not Started</t>
        </is>
      </c>
    </row>
    <row r="7">
      <c r="A7">
        <f>IF(ISTEXT(B6), A6+1, A6)</f>
        <v/>
      </c>
      <c r="B7">
        <f>IF(ISTEXT(B6), 1, B6+1)</f>
        <v/>
      </c>
      <c r="C7" t="inlineStr">
        <is>
          <t>Virtualization considerations</t>
        </is>
      </c>
      <c r="D7" t="inlineStr">
        <is>
          <t>Site</t>
        </is>
      </c>
      <c r="E7" t="inlineStr">
        <is>
          <t>☐ Not Started</t>
        </is>
      </c>
    </row>
    <row r="8">
      <c r="A8" s="5" t="n">
        <v>3</v>
      </c>
      <c r="B8" s="5" t="inlineStr">
        <is>
          <t>.2 SQL Server Configuration</t>
        </is>
      </c>
    </row>
    <row r="9">
      <c r="A9">
        <f>IF(ISTEXT(B8), A8+1, A8)</f>
        <v/>
      </c>
      <c r="B9">
        <f>IF(ISTEXT(B8), 1, B8+1)</f>
        <v/>
      </c>
      <c r="C9" t="inlineStr">
        <is>
          <t>SQL Server version requirements (compatibility matrix)</t>
        </is>
      </c>
      <c r="D9" t="inlineStr">
        <is>
          <t>IT/OT</t>
        </is>
      </c>
      <c r="E9" t="inlineStr">
        <is>
          <t>☐ Not Started</t>
        </is>
      </c>
    </row>
    <row r="10">
      <c r="A10">
        <f>IF(ISTEXT(B9), A9+1, A9)</f>
        <v/>
      </c>
      <c r="B10">
        <f>IF(ISTEXT(B9), 1, B9+1)</f>
        <v/>
      </c>
      <c r="C10" t="inlineStr">
        <is>
          <t>Database sizing and performance tuning</t>
        </is>
      </c>
      <c r="D10" t="inlineStr">
        <is>
          <t>Site</t>
        </is>
      </c>
      <c r="E10" t="inlineStr">
        <is>
          <t>☐ Not Started</t>
        </is>
      </c>
    </row>
    <row r="11">
      <c r="A11">
        <f>IF(ISTEXT(B10), A10+1, A10)</f>
        <v/>
      </c>
      <c r="B11">
        <f>IF(ISTEXT(B10), 1, B10+1)</f>
        <v/>
      </c>
      <c r="C11" t="inlineStr">
        <is>
          <t>SQL permissions and service accounts</t>
        </is>
      </c>
      <c r="D11" t="inlineStr">
        <is>
          <t>IT/OT</t>
        </is>
      </c>
      <c r="E11" t="inlineStr">
        <is>
          <t>☐ Not Started</t>
        </is>
      </c>
    </row>
    <row r="12">
      <c r="A12">
        <f>IF(ISTEXT(B11), A11+1, A11)</f>
        <v/>
      </c>
      <c r="B12">
        <f>IF(ISTEXT(B11), 1, B11+1)</f>
        <v/>
      </c>
      <c r="C12" t="inlineStr">
        <is>
          <t>SQL Server properties</t>
        </is>
      </c>
      <c r="D12" t="inlineStr">
        <is>
          <t>IT/OT</t>
        </is>
      </c>
      <c r="E12" t="inlineStr">
        <is>
          <t>☐ Not Started</t>
        </is>
      </c>
    </row>
    <row r="13">
      <c r="A13">
        <f>IF(ISTEXT(B12), A12+1, A12)</f>
        <v/>
      </c>
      <c r="B13">
        <f>IF(ISTEXT(B12), 1, B12+1)</f>
        <v/>
      </c>
      <c r="C13" t="inlineStr">
        <is>
          <t>Transaction log management</t>
        </is>
      </c>
      <c r="D13" t="inlineStr">
        <is>
          <t>Site</t>
        </is>
      </c>
      <c r="E13" t="inlineStr">
        <is>
          <t>☐ Not Started</t>
        </is>
      </c>
    </row>
    <row r="14">
      <c r="A14">
        <f>IF(ISTEXT(B13), A13+1, A13)</f>
        <v/>
      </c>
      <c r="B14">
        <f>IF(ISTEXT(B13), 1, B13+1)</f>
        <v/>
      </c>
      <c r="C14" t="inlineStr">
        <is>
          <t>Backup infrastructure</t>
        </is>
      </c>
      <c r="D14" t="inlineStr">
        <is>
          <t>IT/OT</t>
        </is>
      </c>
      <c r="E14" t="inlineStr">
        <is>
          <t>☐ Not Started</t>
        </is>
      </c>
    </row>
    <row r="15">
      <c r="A15" s="5" t="n">
        <v>4</v>
      </c>
      <c r="B15" s="5" t="inlineStr">
        <is>
          <t>.3 Organizational Standards</t>
        </is>
      </c>
    </row>
    <row r="16">
      <c r="A16">
        <f>IF(ISTEXT(B15), A15+1, A15)</f>
        <v/>
      </c>
      <c r="B16">
        <f>IF(ISTEXT(B15), 1, B15+1)</f>
        <v/>
      </c>
      <c r="C16" t="inlineStr">
        <is>
          <t>Schema naming conventions (consistency across sites)</t>
        </is>
      </c>
      <c r="D16" t="inlineStr">
        <is>
          <t>Site</t>
        </is>
      </c>
      <c r="E16" t="inlineStr">
        <is>
          <t>☐ Not Started</t>
        </is>
      </c>
    </row>
    <row r="17">
      <c r="A17">
        <f>IF(ISTEXT(B16), A16+1, A16)</f>
        <v/>
      </c>
      <c r="B17">
        <f>IF(ISTEXT(B16), 1, B16+1)</f>
        <v/>
      </c>
      <c r="C17" t="inlineStr">
        <is>
          <t>Folder structures and file organization</t>
        </is>
      </c>
      <c r="D17" t="inlineStr">
        <is>
          <t>Site</t>
        </is>
      </c>
      <c r="E17" t="inlineStr">
        <is>
          <t>☐ Not Started</t>
        </is>
      </c>
    </row>
    <row r="18">
      <c r="A18">
        <f>IF(ISTEXT(B17), A17+1, A17)</f>
        <v/>
      </c>
      <c r="B18">
        <f>IF(ISTEXT(B17), 1, B17+1)</f>
        <v/>
      </c>
      <c r="C18" t="inlineStr">
        <is>
          <t>Service account naming and management</t>
        </is>
      </c>
      <c r="D18" t="inlineStr">
        <is>
          <t>Site</t>
        </is>
      </c>
      <c r="E18" t="inlineStr">
        <is>
          <t>☐ Not Started</t>
        </is>
      </c>
    </row>
    <row r="19">
      <c r="A19">
        <f>IF(ISTEXT(B18), A18+1, A18)</f>
        <v/>
      </c>
      <c r="B19">
        <f>IF(ISTEXT(B18), 1, B18+1)</f>
        <v/>
      </c>
      <c r="C19" t="inlineStr">
        <is>
          <t>Security group assignments</t>
        </is>
      </c>
      <c r="D19" t="inlineStr">
        <is>
          <t>Site</t>
        </is>
      </c>
      <c r="E19" t="inlineStr">
        <is>
          <t>☐ Not Started</t>
        </is>
      </c>
    </row>
    <row r="20">
      <c r="A20">
        <f>IF(ISTEXT(B19), A19+1, A19)</f>
        <v/>
      </c>
      <c r="B20">
        <f>IF(ISTEXT(B19), 1, B19+1)</f>
        <v/>
      </c>
      <c r="C20" t="inlineStr">
        <is>
          <t>Documentation standards</t>
        </is>
      </c>
      <c r="D20" t="inlineStr">
        <is>
          <t>Site</t>
        </is>
      </c>
      <c r="E20" t="inlineStr">
        <is>
          <t>☐ Not Started</t>
        </is>
      </c>
    </row>
    <row r="21">
      <c r="A21" s="5" t="n">
        <v>5</v>
      </c>
      <c r="B21" s="5" t="inlineStr">
        <is>
          <t>.4 Network and Security</t>
        </is>
      </c>
    </row>
    <row r="22">
      <c r="A22">
        <f>IF(ISTEXT(B21), A21+1, A21)</f>
        <v/>
      </c>
      <c r="B22">
        <f>IF(ISTEXT(B21), 1, B21+1)</f>
        <v/>
      </c>
      <c r="C22" t="inlineStr">
        <is>
          <t>Firewall rules and port requirements</t>
        </is>
      </c>
      <c r="D22" t="inlineStr">
        <is>
          <t>Site</t>
        </is>
      </c>
      <c r="E22" t="inlineStr">
        <is>
          <t>☐ Not Started</t>
        </is>
      </c>
    </row>
    <row r="23">
      <c r="A23">
        <f>IF(ISTEXT(B22), A22+1, A22)</f>
        <v/>
      </c>
      <c r="B23">
        <f>IF(ISTEXT(B22), 1, B22+1)</f>
        <v/>
      </c>
      <c r="C23" t="inlineStr">
        <is>
          <t>Certificate management (SSL/TLS)</t>
        </is>
      </c>
      <c r="D23" t="inlineStr">
        <is>
          <t>Site</t>
        </is>
      </c>
      <c r="E23" t="inlineStr">
        <is>
          <t>☐ Not Started</t>
        </is>
      </c>
    </row>
    <row r="24">
      <c r="A24">
        <f>IF(ISTEXT(B23), A23+1, A23)</f>
        <v/>
      </c>
      <c r="B24">
        <f>IF(ISTEXT(B23), 1, B23+1)</f>
        <v/>
      </c>
      <c r="C24" t="inlineStr">
        <is>
          <t>Domain trust relationships</t>
        </is>
      </c>
      <c r="D24" t="inlineStr">
        <is>
          <t>Site</t>
        </is>
      </c>
      <c r="E24" t="inlineStr">
        <is>
          <t>☐ Not Started</t>
        </is>
      </c>
    </row>
    <row r="25">
      <c r="A25">
        <f>IF(ISTEXT(B24), A24+1, A24)</f>
        <v/>
      </c>
      <c r="B25">
        <f>IF(ISTEXT(B24), 1, B24+1)</f>
        <v/>
      </c>
      <c r="C25" t="inlineStr">
        <is>
          <t>OT security compliance</t>
        </is>
      </c>
      <c r="D25" t="inlineStr">
        <is>
          <t>Site</t>
        </is>
      </c>
      <c r="E25" t="inlineStr">
        <is>
          <t>☐ Not Started</t>
        </is>
      </c>
    </row>
    <row r="26">
      <c r="A26" s="5" t="n">
        <v>6</v>
      </c>
      <c r="B26" s="5" t="inlineStr">
        <is>
          <t>.1 Following Organizational Standards During Install</t>
        </is>
      </c>
    </row>
    <row r="27">
      <c r="A27">
        <f>IF(ISTEXT(B26), A26+1, A26)</f>
        <v/>
      </c>
      <c r="B27">
        <f>IF(ISTEXT(B26), 1, B26+1)</f>
        <v/>
      </c>
      <c r="C27" t="inlineStr">
        <is>
          <t>Standard installation checklists</t>
        </is>
      </c>
      <c r="D27" t="inlineStr">
        <is>
          <t>Site</t>
        </is>
      </c>
      <c r="E27" t="inlineStr">
        <is>
          <t>☐ Not Started</t>
        </is>
      </c>
    </row>
    <row r="28">
      <c r="A28">
        <f>IF(ISTEXT(B27), A27+1, A27)</f>
        <v/>
      </c>
      <c r="B28">
        <f>IF(ISTEXT(B27), 1, B27+1)</f>
        <v/>
      </c>
      <c r="C28" t="inlineStr">
        <is>
          <t>Standard naming conventions</t>
        </is>
      </c>
      <c r="D28" t="inlineStr">
        <is>
          <t>Site</t>
        </is>
      </c>
      <c r="E28" t="inlineStr">
        <is>
          <t>☐ Not Started</t>
        </is>
      </c>
    </row>
    <row r="29">
      <c r="A29">
        <f>IF(ISTEXT(B28), A28+1, A28)</f>
        <v/>
      </c>
      <c r="B29">
        <f>IF(ISTEXT(B28), 1, B28+1)</f>
        <v/>
      </c>
      <c r="C29" t="inlineStr">
        <is>
          <t>Standard configurations</t>
        </is>
      </c>
      <c r="D29" t="inlineStr">
        <is>
          <t>Site</t>
        </is>
      </c>
      <c r="E29" t="inlineStr">
        <is>
          <t>☐ Not Started</t>
        </is>
      </c>
    </row>
    <row r="30">
      <c r="A30">
        <f>IF(ISTEXT(B29), A29+1, A29)</f>
        <v/>
      </c>
      <c r="B30">
        <f>IF(ISTEXT(B29), 1, B29+1)</f>
        <v/>
      </c>
      <c r="C30" t="inlineStr">
        <is>
          <t>Configuration management approach</t>
        </is>
      </c>
      <c r="D30" t="inlineStr">
        <is>
          <t>Site</t>
        </is>
      </c>
      <c r="E30" t="inlineStr">
        <is>
          <t>☐ Not Started</t>
        </is>
      </c>
    </row>
    <row r="31">
      <c r="A31">
        <f>IF(ISTEXT(B30), A30+1, A30)</f>
        <v/>
      </c>
      <c r="B31">
        <f>IF(ISTEXT(B30), 1, B30+1)</f>
        <v/>
      </c>
      <c r="C31" t="inlineStr">
        <is>
          <t>As-built documentation requirements</t>
        </is>
      </c>
      <c r="D31" t="inlineStr">
        <is>
          <t>Site</t>
        </is>
      </c>
      <c r="E31" t="inlineStr">
        <is>
          <t>☐ Not Started</t>
        </is>
      </c>
    </row>
    <row r="32">
      <c r="A32" s="5" t="n">
        <v>7</v>
      </c>
      <c r="B32" s="5" t="inlineStr">
        <is>
          <t>.2 Database Creation and Migration</t>
        </is>
      </c>
    </row>
    <row r="33">
      <c r="A33">
        <f>IF(ISTEXT(B32), A32+1, A32)</f>
        <v/>
      </c>
      <c r="B33">
        <f>IF(ISTEXT(B32), 1, B32+1)</f>
        <v/>
      </c>
      <c r="C33" t="inlineStr">
        <is>
          <t>APO database creation procedures</t>
        </is>
      </c>
      <c r="D33" t="inlineStr">
        <is>
          <t>Site</t>
        </is>
      </c>
      <c r="E33" t="inlineStr">
        <is>
          <t>☐ Not Started</t>
        </is>
      </c>
    </row>
    <row r="34">
      <c r="A34">
        <f>IF(ISTEXT(B33), A33+1, A33)</f>
        <v/>
      </c>
      <c r="B34">
        <f>IF(ISTEXT(B33), 1, B33+1)</f>
        <v/>
      </c>
      <c r="C34" t="inlineStr">
        <is>
          <t>ACM to APO data migration process</t>
        </is>
      </c>
      <c r="D34" t="inlineStr">
        <is>
          <t>Site</t>
        </is>
      </c>
      <c r="E34" t="inlineStr">
        <is>
          <t>☐ Not Started</t>
        </is>
      </c>
    </row>
    <row r="35">
      <c r="A35">
        <f>IF(ISTEXT(B34), A34+1, A34)</f>
        <v/>
      </c>
      <c r="B35">
        <f>IF(ISTEXT(B34), 1, B34+1)</f>
        <v/>
      </c>
      <c r="C35" t="inlineStr">
        <is>
          <t>Validation of migrated data</t>
        </is>
      </c>
      <c r="D35" t="inlineStr">
        <is>
          <t>Site</t>
        </is>
      </c>
      <c r="E35" t="inlineStr">
        <is>
          <t>☐ Not Started</t>
        </is>
      </c>
    </row>
    <row r="36">
      <c r="A36" s="5" t="n">
        <v>8</v>
      </c>
      <c r="B36" s="5" t="inlineStr">
        <is>
          <t>.3 Asset Migration Approach</t>
        </is>
      </c>
    </row>
    <row r="37">
      <c r="A37">
        <f>IF(ISTEXT(B36), A36+1, A36)</f>
        <v/>
      </c>
      <c r="B37">
        <f>IF(ISTEXT(B36), 1, B36+1)</f>
        <v/>
      </c>
      <c r="C37" t="inlineStr">
        <is>
          <t>EMDB to APO asset structure mapping</t>
        </is>
      </c>
      <c r="D37" t="inlineStr">
        <is>
          <t>Site</t>
        </is>
      </c>
      <c r="E37" t="inlineStr">
        <is>
          <t>☐ Not Started</t>
        </is>
      </c>
    </row>
    <row r="38">
      <c r="A38">
        <f>IF(ISTEXT(B37), A37+1, A37)</f>
        <v/>
      </c>
      <c r="B38">
        <f>IF(ISTEXT(B37), 1, B37+1)</f>
        <v/>
      </c>
      <c r="C38" t="inlineStr">
        <is>
          <t>Hierarchy recreation and validation</t>
        </is>
      </c>
      <c r="D38" t="inlineStr">
        <is>
          <t>Site</t>
        </is>
      </c>
      <c r="E38" t="inlineStr">
        <is>
          <t>☐ Not Started</t>
        </is>
      </c>
    </row>
    <row r="39">
      <c r="A39">
        <f>IF(ISTEXT(B38), A38+1, A38)</f>
        <v/>
      </c>
      <c r="B39">
        <f>IF(ISTEXT(B38), 1, B38+1)</f>
        <v/>
      </c>
      <c r="C39" t="inlineStr">
        <is>
          <t>Console assignment</t>
        </is>
      </c>
      <c r="D39" t="inlineStr">
        <is>
          <t>Site</t>
        </is>
      </c>
      <c r="E39" t="inlineStr">
        <is>
          <t>☐ Not Started</t>
        </is>
      </c>
    </row>
    <row r="40">
      <c r="A40" s="5" t="n">
        <v>9</v>
      </c>
      <c r="B40" s="5" t="inlineStr">
        <is>
          <t>.4 System Configuration</t>
        </is>
      </c>
    </row>
    <row r="41">
      <c r="A41">
        <f>IF(ISTEXT(B40), A40+1, A40)</f>
        <v/>
      </c>
      <c r="B41">
        <f>IF(ISTEXT(B40), 1, B40+1)</f>
        <v/>
      </c>
      <c r="C41" t="inlineStr">
        <is>
          <t>Site settings and preferences</t>
        </is>
      </c>
      <c r="D41" t="inlineStr">
        <is>
          <t>Site</t>
        </is>
      </c>
      <c r="E41" t="inlineStr">
        <is>
          <t>☐ Not Started</t>
        </is>
      </c>
    </row>
    <row r="42">
      <c r="A42">
        <f>IF(ISTEXT(B41), A41+1, A41)</f>
        <v/>
      </c>
      <c r="B42">
        <f>IF(ISTEXT(B41), 1, B41+1)</f>
        <v/>
      </c>
      <c r="C42" t="inlineStr">
        <is>
          <t>User authentication (Active Directory integration)</t>
        </is>
      </c>
      <c r="D42" t="inlineStr">
        <is>
          <t>Site</t>
        </is>
      </c>
      <c r="E42" t="inlineStr">
        <is>
          <t>☐ Not Started</t>
        </is>
      </c>
    </row>
    <row r="43">
      <c r="A43">
        <f>IF(ISTEXT(B42), A42+1, A42)</f>
        <v/>
      </c>
      <c r="B43">
        <f>IF(ISTEXT(B42), 1, B42+1)</f>
        <v/>
      </c>
      <c r="C43" t="inlineStr">
        <is>
          <t>Role-based access control (RBAC) setup</t>
        </is>
      </c>
      <c r="D43" t="inlineStr">
        <is>
          <t>Site</t>
        </is>
      </c>
      <c r="E43" t="inlineStr">
        <is>
          <t>☐ Not Started</t>
        </is>
      </c>
    </row>
    <row r="44">
      <c r="A44">
        <f>IF(ISTEXT(B43), A43+1, A43)</f>
        <v/>
      </c>
      <c r="B44">
        <f>IF(ISTEXT(B43), 1, B43+1)</f>
        <v/>
      </c>
      <c r="C44" t="inlineStr">
        <is>
          <t>Notification configuration (email alerts, etc.)</t>
        </is>
      </c>
      <c r="D44" t="inlineStr">
        <is>
          <t>Site</t>
        </is>
      </c>
      <c r="E44" t="inlineStr">
        <is>
          <t>☐ Not Started</t>
        </is>
      </c>
    </row>
  </sheetData>
  <conditionalFormatting sqref="D2:D44">
    <cfRule type="cellIs" priority="1" operator="equal" dxfId="0">
      <formula>"Custom"</formula>
    </cfRule>
    <cfRule type="cellIs" priority="2" operator="equal" dxfId="1">
      <formula>"Vendor"</formula>
    </cfRule>
    <cfRule type="cellIs" priority="3" operator="equal" dxfId="2">
      <formula>"IT\\OT"</formula>
    </cfRule>
    <cfRule type="cellIs" priority="4" operator="equal" dxfId="2">
      <formula>"IT/OT"</formula>
    </cfRule>
    <cfRule type="cellIs" priority="5" operator="equal" dxfId="3">
      <formula>"Site"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60" customWidth="1" min="3" max="3"/>
    <col width="12" customWidth="1" min="4" max="4"/>
    <col width="15" customWidth="1" min="5" max="5"/>
    <col width="30" customWidth="1" min="6" max="6"/>
    <col width="15" customWidth="1" min="7" max="7"/>
  </cols>
  <sheetData>
    <row r="1">
      <c r="A1" s="4" t="inlineStr">
        <is>
          <t>#</t>
        </is>
      </c>
      <c r="B1" s="4" t="inlineStr">
        <is>
          <t>Item #</t>
        </is>
      </c>
      <c r="C1" s="4" t="inlineStr">
        <is>
          <t>Task</t>
        </is>
      </c>
      <c r="D1" s="4" t="inlineStr">
        <is>
          <t>Owner</t>
        </is>
      </c>
      <c r="E1" s="4" t="inlineStr">
        <is>
          <t>Status</t>
        </is>
      </c>
      <c r="F1" s="4" t="inlineStr">
        <is>
          <t>Notes</t>
        </is>
      </c>
      <c r="G1" s="4" t="inlineStr">
        <is>
          <t>Prerequisites</t>
        </is>
      </c>
    </row>
    <row r="2">
      <c r="A2">
        <f>IF(ISTEXT(B1), A1+1, A1)</f>
        <v/>
      </c>
      <c r="B2">
        <f>IF(ISTEXT(B1), 1, B1+1)</f>
        <v/>
      </c>
      <c r="C2" t="inlineStr">
        <is>
          <t>OSW Data Entry</t>
        </is>
      </c>
    </row>
    <row r="3">
      <c r="A3">
        <f>IF(ISTEXT(B2), A2+1, A2)</f>
        <v/>
      </c>
      <c r="B3">
        <f>IF(ISTEXT(B2), 1, B2+1)</f>
        <v/>
      </c>
      <c r="C3" t="inlineStr">
        <is>
          <t>Assets</t>
        </is>
      </c>
    </row>
    <row r="4">
      <c r="A4">
        <f>IF(ISTEXT(B3), A3+1, A3)</f>
        <v/>
      </c>
      <c r="B4">
        <f>IF(ISTEXT(B3), 1, B3+1)</f>
        <v/>
      </c>
      <c r="C4" t="inlineStr">
        <is>
          <t>Complete Asset Hierarchy (Site→Area→Unit→System→Subsystem)</t>
        </is>
      </c>
      <c r="D4" t="inlineStr">
        <is>
          <t>Site</t>
        </is>
      </c>
      <c r="E4" t="inlineStr">
        <is>
          <t>☐ Not Started</t>
        </is>
      </c>
    </row>
    <row r="5">
      <c r="A5">
        <f>IF(ISTEXT(B4), A4+1, A4)</f>
        <v/>
      </c>
      <c r="B5">
        <f>IF(ISTEXT(B4), 1, B4+1)</f>
        <v/>
      </c>
      <c r="C5" t="inlineStr">
        <is>
          <t>Validate hierarchy matches FDS standards</t>
        </is>
      </c>
      <c r="D5" t="inlineStr">
        <is>
          <t>Site</t>
        </is>
      </c>
      <c r="E5" t="inlineStr">
        <is>
          <t>☐ Not Started</t>
        </is>
      </c>
    </row>
    <row r="6">
      <c r="A6">
        <f>IF(ISTEXT(B5), A5+1, A5)</f>
        <v/>
      </c>
      <c r="B6">
        <f>IF(ISTEXT(B5), 1, B5+1)</f>
        <v/>
      </c>
      <c r="C6" t="inlineStr">
        <is>
          <t>Devices</t>
        </is>
      </c>
    </row>
    <row r="7">
      <c r="A7">
        <f>IF(ISTEXT(B6), A6+1, A6)</f>
        <v/>
      </c>
      <c r="B7">
        <f>IF(ISTEXT(B6), 1, B6+1)</f>
        <v/>
      </c>
      <c r="C7" t="inlineStr">
        <is>
          <t>Complete Device Inventory (manufacturer, model, protocol)</t>
        </is>
      </c>
      <c r="D7" t="inlineStr">
        <is>
          <t>Site</t>
        </is>
      </c>
      <c r="E7" t="inlineStr">
        <is>
          <t>☐ Not Started</t>
        </is>
      </c>
    </row>
    <row r="8">
      <c r="A8">
        <f>IF(ISTEXT(B7), A7+1, A7)</f>
        <v/>
      </c>
      <c r="B8">
        <f>IF(ISTEXT(B7), 1, B7+1)</f>
        <v/>
      </c>
      <c r="C8" t="inlineStr">
        <is>
          <t>Classify external reference devices</t>
        </is>
      </c>
      <c r="D8" t="inlineStr">
        <is>
          <t>Site</t>
        </is>
      </c>
      <c r="E8" t="inlineStr">
        <is>
          <t>☐ Not Started</t>
        </is>
      </c>
    </row>
    <row r="9">
      <c r="A9">
        <f>IF(ISTEXT(B8), A8+1, A8)</f>
        <v/>
      </c>
      <c r="B9">
        <f>IF(ISTEXT(B8), 1, B8+1)</f>
        <v/>
      </c>
      <c r="C9" t="inlineStr">
        <is>
          <t>Document unsupported devices with justification</t>
        </is>
      </c>
      <c r="D9" t="inlineStr">
        <is>
          <t>Site</t>
        </is>
      </c>
      <c r="E9" t="inlineStr">
        <is>
          <t>☐ Not Started</t>
        </is>
      </c>
    </row>
    <row r="10">
      <c r="A10">
        <f>IF(ISTEXT(B9), A9+1, A9)</f>
        <v/>
      </c>
      <c r="B10">
        <f>IF(ISTEXT(B9), 1, B9+1)</f>
        <v/>
      </c>
      <c r="C10" t="inlineStr">
        <is>
          <t>External Reference Configuration</t>
        </is>
      </c>
    </row>
    <row r="11">
      <c r="A11">
        <f>IF(ISTEXT(B10), A10+1, A10)</f>
        <v/>
      </c>
      <c r="B11">
        <f>IF(ISTEXT(B10), 1, B10+1)</f>
        <v/>
      </c>
      <c r="C11" t="inlineStr">
        <is>
          <t>ControlLogix</t>
        </is>
      </c>
    </row>
    <row r="12">
      <c r="A12">
        <f>IF(ISTEXT(B11), A11+1, A11)</f>
        <v/>
      </c>
      <c r="B12">
        <f>IF(ISTEXT(B11), 1, B11+1)</f>
        <v/>
      </c>
      <c r="C12" t="inlineStr">
        <is>
          <t>Provide .L5X/.L5K export and I/O config</t>
        </is>
      </c>
      <c r="D12" t="inlineStr">
        <is>
          <t>Site</t>
        </is>
      </c>
      <c r="E12" t="inlineStr">
        <is>
          <t>☐ Not Started</t>
        </is>
      </c>
    </row>
    <row r="13">
      <c r="A13">
        <f>IF(ISTEXT(B12), A12+1, A12)</f>
        <v/>
      </c>
      <c r="B13">
        <f>IF(ISTEXT(B12), 1, B12+1)</f>
        <v/>
      </c>
      <c r="C13" t="inlineStr">
        <is>
          <t>PLC5/SLC</t>
        </is>
      </c>
    </row>
    <row r="14">
      <c r="A14">
        <f>IF(ISTEXT(B13), A13+1, A13)</f>
        <v/>
      </c>
      <c r="B14">
        <f>IF(ISTEXT(B13), 1, B13+1)</f>
        <v/>
      </c>
      <c r="C14" t="inlineStr">
        <is>
          <t>Provide .RSS export and addressing scheme</t>
        </is>
      </c>
      <c r="D14" t="inlineStr">
        <is>
          <t>Site</t>
        </is>
      </c>
      <c r="E14" t="inlineStr">
        <is>
          <t>☐ Not Started</t>
        </is>
      </c>
    </row>
    <row r="15">
      <c r="A15">
        <f>IF(ISTEXT(B14), A14+1, A14)</f>
        <v/>
      </c>
      <c r="B15">
        <f>IF(ISTEXT(B14), 1, B14+1)</f>
        <v/>
      </c>
      <c r="C15" t="inlineStr">
        <is>
          <t>Triconex</t>
        </is>
      </c>
    </row>
    <row r="16">
      <c r="A16">
        <f>IF(ISTEXT(B15), A15+1, A15)</f>
        <v/>
      </c>
      <c r="B16">
        <f>IF(ISTEXT(B15), 1, B15+1)</f>
        <v/>
      </c>
      <c r="C16" t="inlineStr">
        <is>
          <t>Confirm EPKS External Reference or TPS import</t>
        </is>
      </c>
      <c r="D16" t="inlineStr">
        <is>
          <t>Site</t>
        </is>
      </c>
      <c r="E16" t="inlineStr">
        <is>
          <t>☐ Not Started</t>
        </is>
      </c>
    </row>
    <row r="17">
      <c r="A17">
        <f>IF(ISTEXT(B16), A16+1, A16)</f>
        <v/>
      </c>
      <c r="B17">
        <f>IF(ISTEXT(B16), 1, B16+1)</f>
        <v/>
      </c>
      <c r="C17" t="inlineStr">
        <is>
          <t>Bently Nevada</t>
        </is>
      </c>
    </row>
    <row r="18">
      <c r="A18">
        <f>IF(ISTEXT(B17), A17+1, A17)</f>
        <v/>
      </c>
      <c r="B18">
        <f>IF(ISTEXT(B17), 1, B17+1)</f>
        <v/>
      </c>
      <c r="C18" t="inlineStr">
        <is>
          <t>Confirm DCS External Reference method</t>
        </is>
      </c>
      <c r="D18" t="inlineStr">
        <is>
          <t>Site</t>
        </is>
      </c>
      <c r="E18" t="inlineStr">
        <is>
          <t>☐ Not Started</t>
        </is>
      </c>
    </row>
    <row r="19">
      <c r="A19">
        <f>IF(ISTEXT(B18), A18+1, A18)</f>
        <v/>
      </c>
      <c r="B19">
        <f>IF(ISTEXT(B18), 1, B18+1)</f>
        <v/>
      </c>
      <c r="C19" t="inlineStr">
        <is>
          <t>Analyzers</t>
        </is>
      </c>
    </row>
    <row r="20">
      <c r="A20">
        <f>IF(ISTEXT(B19), A19+1, A19)</f>
        <v/>
      </c>
      <c r="B20">
        <f>IF(ISTEXT(B19), 1, B19+1)</f>
        <v/>
      </c>
      <c r="C20" t="inlineStr">
        <is>
          <t>Decide manual entry vs automated import</t>
        </is>
      </c>
      <c r="D20" t="inlineStr">
        <is>
          <t>Site</t>
        </is>
      </c>
      <c r="E20" t="inlineStr">
        <is>
          <t>☐ Not Started</t>
        </is>
      </c>
    </row>
    <row r="21">
      <c r="A21">
        <f>IF(ISTEXT(B20), A20+1, A20)</f>
        <v/>
      </c>
      <c r="B21">
        <f>IF(ISTEXT(B20), 1, B20+1)</f>
        <v/>
      </c>
      <c r="C21" t="inlineStr">
        <is>
          <t>OSW Validation</t>
        </is>
      </c>
    </row>
    <row r="22">
      <c r="A22">
        <f>IF(ISTEXT(B21), A21+1, A21)</f>
        <v/>
      </c>
      <c r="B22">
        <f>IF(ISTEXT(B21), 1, B21+1)</f>
        <v/>
      </c>
      <c r="C22" t="inlineStr">
        <is>
          <t>Review</t>
        </is>
      </c>
    </row>
    <row r="23">
      <c r="A23">
        <f>IF(ISTEXT(B22), A22+1, A22)</f>
        <v/>
      </c>
      <c r="B23">
        <f>IF(ISTEXT(B22), 1, B22+1)</f>
        <v/>
      </c>
      <c r="C23" t="inlineStr">
        <is>
          <t>Vendor reviews OSW for completeness</t>
        </is>
      </c>
      <c r="D23" t="inlineStr">
        <is>
          <t>Vendor</t>
        </is>
      </c>
      <c r="E23" t="inlineStr">
        <is>
          <t>☐ Not Started</t>
        </is>
      </c>
    </row>
    <row r="24">
      <c r="A24">
        <f>IF(ISTEXT(B23), A23+1, A23)</f>
        <v/>
      </c>
      <c r="B24">
        <f>IF(ISTEXT(B23), 1, B23+1)</f>
        <v/>
      </c>
      <c r="C24" t="inlineStr">
        <is>
          <t>Site confirms all devices in scope</t>
        </is>
      </c>
      <c r="D24" t="inlineStr">
        <is>
          <t>Site</t>
        </is>
      </c>
      <c r="E24" t="inlineStr">
        <is>
          <t>☐ Not Started</t>
        </is>
      </c>
    </row>
    <row r="25">
      <c r="A25">
        <f>IF(ISTEXT(B24), A24+1, A24)</f>
        <v/>
      </c>
      <c r="B25">
        <f>IF(ISTEXT(B24), 1, B24+1)</f>
        <v/>
      </c>
      <c r="C25" t="inlineStr">
        <is>
          <t>⚠️ NO additions after sign-off without Change Order</t>
        </is>
      </c>
      <c r="D25" t="inlineStr">
        <is>
          <t>Site</t>
        </is>
      </c>
      <c r="E25" t="inlineStr">
        <is>
          <t>☐ Not Started</t>
        </is>
      </c>
    </row>
    <row r="26">
      <c r="A26">
        <f>IF(ISTEXT(B25), A25+1, A25)</f>
        <v/>
      </c>
      <c r="B26">
        <f>IF(ISTEXT(B25), 1, B25+1)</f>
        <v/>
      </c>
      <c r="C26" t="inlineStr">
        <is>
          <t>Sign-Off</t>
        </is>
      </c>
    </row>
    <row r="27">
      <c r="A27">
        <f>IF(ISTEXT(B26), A26+1, A26)</f>
        <v/>
      </c>
      <c r="B27">
        <f>IF(ISTEXT(B26), 1, B26+1)</f>
        <v/>
      </c>
      <c r="C27" t="inlineStr">
        <is>
          <t>Executive sponsor signs off (scope locked)</t>
        </is>
      </c>
      <c r="D27" t="inlineStr">
        <is>
          <t>Site</t>
        </is>
      </c>
      <c r="E27" t="inlineStr">
        <is>
          <t>☐ Not Started</t>
        </is>
      </c>
    </row>
  </sheetData>
  <conditionalFormatting sqref="D2:D27">
    <cfRule type="cellIs" priority="1" operator="equal" dxfId="0">
      <formula>"Custom"</formula>
    </cfRule>
    <cfRule type="cellIs" priority="2" operator="equal" dxfId="1">
      <formula>"Vendor"</formula>
    </cfRule>
    <cfRule type="cellIs" priority="3" operator="equal" dxfId="2">
      <formula>"IT\\OT"</formula>
    </cfRule>
    <cfRule type="cellIs" priority="4" operator="equal" dxfId="2">
      <formula>"IT/OT"</formula>
    </cfRule>
    <cfRule type="cellIs" priority="5" operator="equal" dxfId="3">
      <formula>"Site"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60" customWidth="1" min="3" max="3"/>
    <col width="12" customWidth="1" min="4" max="4"/>
    <col width="15" customWidth="1" min="5" max="5"/>
    <col width="30" customWidth="1" min="6" max="6"/>
    <col width="15" customWidth="1" min="7" max="7"/>
  </cols>
  <sheetData>
    <row r="1">
      <c r="A1" s="4" t="inlineStr">
        <is>
          <t>#</t>
        </is>
      </c>
      <c r="B1" s="4" t="inlineStr">
        <is>
          <t>Item #</t>
        </is>
      </c>
      <c r="C1" s="4" t="inlineStr">
        <is>
          <t>Task</t>
        </is>
      </c>
      <c r="D1" s="4" t="inlineStr">
        <is>
          <t>Owner</t>
        </is>
      </c>
      <c r="E1" s="4" t="inlineStr">
        <is>
          <t>Status</t>
        </is>
      </c>
      <c r="F1" s="4" t="inlineStr">
        <is>
          <t>Notes</t>
        </is>
      </c>
      <c r="G1" s="4" t="inlineStr">
        <is>
          <t>Prerequisites</t>
        </is>
      </c>
    </row>
    <row r="2">
      <c r="A2" s="5" t="n">
        <v>1</v>
      </c>
      <c r="B2" s="5" t="inlineStr">
        <is>
          <t>Readiness Tasks</t>
        </is>
      </c>
    </row>
    <row r="3">
      <c r="A3" s="5" t="n">
        <v>2</v>
      </c>
      <c r="B3" s="5" t="inlineStr">
        <is>
          <t>.1 APO R3.0.0 Migration Utility Usage</t>
        </is>
      </c>
    </row>
    <row r="4">
      <c r="A4">
        <f>IF(ISTEXT(B3), A3+1, A3)</f>
        <v/>
      </c>
      <c r="B4">
        <f>IF(ISTEXT(B3), 1, B3+1)</f>
        <v/>
      </c>
      <c r="C4" t="inlineStr">
        <is>
          <t>Migration utility features and capabilities</t>
        </is>
      </c>
      <c r="D4" t="inlineStr">
        <is>
          <t>Site</t>
        </is>
      </c>
      <c r="E4" t="inlineStr">
        <is>
          <t>☐ Not Started</t>
        </is>
      </c>
    </row>
    <row r="5">
      <c r="A5">
        <f>IF(ISTEXT(B4), A4+1, A4)</f>
        <v/>
      </c>
      <c r="B5">
        <f>IF(ISTEXT(B4), 1, B4+1)</f>
        <v/>
      </c>
      <c r="C5" t="inlineStr">
        <is>
          <t>Pre-migration validation checks</t>
        </is>
      </c>
      <c r="D5" t="inlineStr">
        <is>
          <t>Site</t>
        </is>
      </c>
      <c r="E5" t="inlineStr">
        <is>
          <t>☐ Not Started</t>
        </is>
      </c>
    </row>
    <row r="6">
      <c r="A6">
        <f>IF(ISTEXT(B5), A5+1, A5)</f>
        <v/>
      </c>
      <c r="B6">
        <f>IF(ISTEXT(B5), 1, B5+1)</f>
        <v/>
      </c>
      <c r="C6" t="inlineStr">
        <is>
          <t>Migration utility configuration</t>
        </is>
      </c>
      <c r="D6" t="inlineStr">
        <is>
          <t>Site</t>
        </is>
      </c>
      <c r="E6" t="inlineStr">
        <is>
          <t>☐ Not Started</t>
        </is>
      </c>
    </row>
    <row r="7">
      <c r="A7">
        <f>IF(ISTEXT(B6), A6+1, A6)</f>
        <v/>
      </c>
      <c r="B7">
        <f>IF(ISTEXT(B6), 1, B6+1)</f>
        <v/>
      </c>
      <c r="C7" t="inlineStr">
        <is>
          <t>Execution and monitoring</t>
        </is>
      </c>
      <c r="D7" t="inlineStr">
        <is>
          <t>Site</t>
        </is>
      </c>
      <c r="E7" t="inlineStr">
        <is>
          <t>☐ Not Started</t>
        </is>
      </c>
    </row>
    <row r="8">
      <c r="A8" s="5" t="n">
        <v>3</v>
      </c>
      <c r="B8" s="5" t="inlineStr">
        <is>
          <t>.2 Three-Phase Migration Approach</t>
        </is>
      </c>
    </row>
    <row r="9">
      <c r="A9">
        <f>IF(ISTEXT(B8), A8+1, A8)</f>
        <v/>
      </c>
      <c r="B9">
        <f>IF(ISTEXT(B8), 1, B8+1)</f>
        <v/>
      </c>
      <c r="C9" t="inlineStr">
        <is>
          <t>Phase 1: Pre-migration</t>
        </is>
      </c>
      <c r="D9" t="inlineStr">
        <is>
          <t>Site</t>
        </is>
      </c>
      <c r="E9" t="inlineStr">
        <is>
          <t>☐ Not Started</t>
        </is>
      </c>
    </row>
    <row r="10">
      <c r="A10">
        <f>IF(ISTEXT(B9), A9+1, A9)</f>
        <v/>
      </c>
      <c r="B10">
        <f>IF(ISTEXT(B9), 1, B9+1)</f>
        <v/>
      </c>
      <c r="C10" t="inlineStr">
        <is>
          <t>Configure essential components</t>
        </is>
      </c>
      <c r="D10" t="inlineStr">
        <is>
          <t>Site</t>
        </is>
      </c>
      <c r="E10" t="inlineStr">
        <is>
          <t>☐ Not Started</t>
        </is>
      </c>
    </row>
    <row r="11">
      <c r="A11">
        <f>IF(ISTEXT(B10), A10+1, A10)</f>
        <v/>
      </c>
      <c r="B11">
        <f>IF(ISTEXT(B10), 1, B10+1)</f>
        <v/>
      </c>
      <c r="C11" t="inlineStr">
        <is>
          <t>Secure site environment</t>
        </is>
      </c>
      <c r="D11" t="inlineStr">
        <is>
          <t>Site</t>
        </is>
      </c>
      <c r="E11" t="inlineStr">
        <is>
          <t>☐ Not Started</t>
        </is>
      </c>
    </row>
    <row r="12">
      <c r="A12">
        <f>IF(ISTEXT(B11), A11+1, A11)</f>
        <v/>
      </c>
      <c r="B12">
        <f>IF(ISTEXT(B11), 1, B11+1)</f>
        <v/>
      </c>
      <c r="C12" t="inlineStr">
        <is>
          <t>Validate prerequisites</t>
        </is>
      </c>
      <c r="D12" t="inlineStr">
        <is>
          <t>Site</t>
        </is>
      </c>
      <c r="E12" t="inlineStr">
        <is>
          <t>☐ Not Started</t>
        </is>
      </c>
    </row>
    <row r="13">
      <c r="A13">
        <f>IF(ISTEXT(B12), A12+1, A12)</f>
        <v/>
      </c>
      <c r="B13">
        <f>IF(ISTEXT(B12), 1, B12+1)</f>
        <v/>
      </c>
      <c r="C13" t="inlineStr">
        <is>
          <t>Validate quality of data</t>
        </is>
      </c>
      <c r="D13" t="inlineStr">
        <is>
          <t>Site</t>
        </is>
      </c>
      <c r="E13" t="inlineStr">
        <is>
          <t>☐ Not Started</t>
        </is>
      </c>
    </row>
    <row r="14">
      <c r="A14">
        <f>IF(ISTEXT(B13), A13+1, A13)</f>
        <v/>
      </c>
      <c r="B14">
        <f>IF(ISTEXT(B13), 1, B13+1)</f>
        <v/>
      </c>
      <c r="C14" t="inlineStr">
        <is>
          <t>Phase 2: Migration</t>
        </is>
      </c>
      <c r="D14" t="inlineStr">
        <is>
          <t>Site</t>
        </is>
      </c>
      <c r="E14" t="inlineStr">
        <is>
          <t>☐ Not Started</t>
        </is>
      </c>
    </row>
    <row r="15">
      <c r="A15">
        <f>IF(ISTEXT(B14), A14+1, A14)</f>
        <v/>
      </c>
      <c r="B15">
        <f>IF(ISTEXT(B14), 1, B14+1)</f>
        <v/>
      </c>
      <c r="C15" t="inlineStr">
        <is>
          <t>Validate source data</t>
        </is>
      </c>
      <c r="D15" t="inlineStr">
        <is>
          <t>Site</t>
        </is>
      </c>
      <c r="E15" t="inlineStr">
        <is>
          <t>☐ Not Started</t>
        </is>
      </c>
    </row>
    <row r="16">
      <c r="A16">
        <f>IF(ISTEXT(B15), A15+1, A15)</f>
        <v/>
      </c>
      <c r="B16">
        <f>IF(ISTEXT(B15), 1, B15+1)</f>
        <v/>
      </c>
      <c r="C16" t="inlineStr">
        <is>
          <t>Map assets and tags</t>
        </is>
      </c>
      <c r="D16" t="inlineStr">
        <is>
          <t>Site</t>
        </is>
      </c>
      <c r="E16" t="inlineStr">
        <is>
          <t>☐ Not Started</t>
        </is>
      </c>
    </row>
    <row r="17">
      <c r="A17">
        <f>IF(ISTEXT(B16), A16+1, A16)</f>
        <v/>
      </c>
      <c r="B17">
        <f>IF(ISTEXT(B16), 1, B16+1)</f>
        <v/>
      </c>
      <c r="C17" t="inlineStr">
        <is>
          <t>Execute migration utility</t>
        </is>
      </c>
      <c r="D17" t="inlineStr">
        <is>
          <t>Site</t>
        </is>
      </c>
      <c r="E17" t="inlineStr">
        <is>
          <t>☐ Not Started</t>
        </is>
      </c>
    </row>
    <row r="18">
      <c r="A18">
        <f>IF(ISTEXT(B17), A17+1, A17)</f>
        <v/>
      </c>
      <c r="B18">
        <f>IF(ISTEXT(B17), 1, B17+1)</f>
        <v/>
      </c>
      <c r="C18" t="inlineStr">
        <is>
          <t>Monitor progress</t>
        </is>
      </c>
      <c r="D18" t="inlineStr">
        <is>
          <t>Site</t>
        </is>
      </c>
      <c r="E18" t="inlineStr">
        <is>
          <t>☐ Not Started</t>
        </is>
      </c>
    </row>
    <row r="19">
      <c r="A19">
        <f>IF(ISTEXT(B18), A18+1, A18)</f>
        <v/>
      </c>
      <c r="B19">
        <f>IF(ISTEXT(B18), 1, B18+1)</f>
        <v/>
      </c>
      <c r="C19" t="inlineStr">
        <is>
          <t>Phase 3: Post-migration</t>
        </is>
      </c>
      <c r="D19" t="inlineStr">
        <is>
          <t>Site</t>
        </is>
      </c>
      <c r="E19" t="inlineStr">
        <is>
          <t>☐ Not Started</t>
        </is>
      </c>
    </row>
    <row r="20">
      <c r="A20">
        <f>IF(ISTEXT(B19), A19+1, A19)</f>
        <v/>
      </c>
      <c r="B20">
        <f>IF(ISTEXT(B19), 1, B19+1)</f>
        <v/>
      </c>
      <c r="C20" t="inlineStr">
        <is>
          <t>Conduct data integrity reviews</t>
        </is>
      </c>
      <c r="D20" t="inlineStr">
        <is>
          <t>Site</t>
        </is>
      </c>
      <c r="E20" t="inlineStr">
        <is>
          <t>☐ Not Started</t>
        </is>
      </c>
    </row>
    <row r="21">
      <c r="A21">
        <f>IF(ISTEXT(B20), A20+1, A20)</f>
        <v/>
      </c>
      <c r="B21">
        <f>IF(ISTEXT(B20), 1, B20+1)</f>
        <v/>
      </c>
      <c r="C21" t="inlineStr">
        <is>
          <t>Validation tools execution</t>
        </is>
      </c>
      <c r="D21" t="inlineStr">
        <is>
          <t>Site</t>
        </is>
      </c>
      <c r="E21" t="inlineStr">
        <is>
          <t>☐ Not Started</t>
        </is>
      </c>
    </row>
    <row r="22">
      <c r="A22">
        <f>IF(ISTEXT(B21), A21+1, A21)</f>
        <v/>
      </c>
      <c r="B22">
        <f>IF(ISTEXT(B21), 1, B21+1)</f>
        <v/>
      </c>
      <c r="C22" t="inlineStr">
        <is>
          <t>Reconciliation reports</t>
        </is>
      </c>
      <c r="D22" t="inlineStr">
        <is>
          <t>Site</t>
        </is>
      </c>
      <c r="E22" t="inlineStr">
        <is>
          <t>☐ Not Started</t>
        </is>
      </c>
    </row>
    <row r="23">
      <c r="A23">
        <f>IF(ISTEXT(B22), A22+1, A22)</f>
        <v/>
      </c>
      <c r="B23">
        <f>IF(ISTEXT(B22), 1, B22+1)</f>
        <v/>
      </c>
      <c r="C23" t="inlineStr">
        <is>
          <t>Validate quality of data</t>
        </is>
      </c>
      <c r="D23" t="inlineStr">
        <is>
          <t>Site</t>
        </is>
      </c>
      <c r="E23" t="inlineStr">
        <is>
          <t>☐ Not Started</t>
        </is>
      </c>
    </row>
    <row r="24">
      <c r="A24" s="5" t="n">
        <v>4</v>
      </c>
      <c r="B24" s="5" t="inlineStr">
        <is>
          <t>.3 Data Transformation and Mapping</t>
        </is>
      </c>
    </row>
    <row r="25">
      <c r="A25">
        <f>IF(ISTEXT(B24), A24+1, A24)</f>
        <v/>
      </c>
      <c r="B25">
        <f>IF(ISTEXT(B24), 1, B24+1)</f>
        <v/>
      </c>
      <c r="C25" t="inlineStr">
        <is>
          <t>Tag attribute mapping (ACM to APO)</t>
        </is>
      </c>
      <c r="D25" t="inlineStr">
        <is>
          <t>Site</t>
        </is>
      </c>
      <c r="E25" t="inlineStr">
        <is>
          <t>☐ Not Started</t>
        </is>
      </c>
    </row>
    <row r="26">
      <c r="A26">
        <f>IF(ISTEXT(B25), A25+1, A25)</f>
        <v/>
      </c>
      <c r="B26">
        <f>IF(ISTEXT(B25), 1, B25+1)</f>
        <v/>
      </c>
      <c r="C26" t="inlineStr">
        <is>
          <t>Priority translation</t>
        </is>
      </c>
      <c r="D26" t="inlineStr">
        <is>
          <t>Site</t>
        </is>
      </c>
      <c r="E26" t="inlineStr">
        <is>
          <t>☐ Not Started</t>
        </is>
      </c>
    </row>
    <row r="27">
      <c r="A27">
        <f>IF(ISTEXT(B26), A26+1, A26)</f>
        <v/>
      </c>
      <c r="B27">
        <f>IF(ISTEXT(B26), 1, B26+1)</f>
        <v/>
      </c>
      <c r="C27" t="inlineStr">
        <is>
          <t>Alarm type conversions</t>
        </is>
      </c>
      <c r="D27" t="inlineStr">
        <is>
          <t>Site</t>
        </is>
      </c>
      <c r="E27" t="inlineStr">
        <is>
          <t>☐ Not Started</t>
        </is>
      </c>
    </row>
    <row r="28">
      <c r="A28">
        <f>IF(ISTEXT(B27), A27+1, A27)</f>
        <v/>
      </c>
      <c r="B28">
        <f>IF(ISTEXT(B27), 1, B27+1)</f>
        <v/>
      </c>
      <c r="C28" t="inlineStr">
        <is>
          <t>Custom field mapping</t>
        </is>
      </c>
      <c r="D28" t="inlineStr">
        <is>
          <t>Site</t>
        </is>
      </c>
      <c r="E28" t="inlineStr">
        <is>
          <t>☐ Not Started</t>
        </is>
      </c>
    </row>
    <row r="29">
      <c r="A29" s="5" t="n">
        <v>5</v>
      </c>
      <c r="B29" s="5" t="inlineStr">
        <is>
          <t>.4 Error Handling and Resolution</t>
        </is>
      </c>
    </row>
    <row r="30">
      <c r="A30">
        <f>IF(ISTEXT(B29), A29+1, A29)</f>
        <v/>
      </c>
      <c r="B30">
        <f>IF(ISTEXT(B29), 1, B29+1)</f>
        <v/>
      </c>
      <c r="C30" t="inlineStr">
        <is>
          <t>Common migration errors and causes</t>
        </is>
      </c>
      <c r="D30" t="inlineStr">
        <is>
          <t>Site</t>
        </is>
      </c>
      <c r="E30" t="inlineStr">
        <is>
          <t>☐ Not Started</t>
        </is>
      </c>
    </row>
    <row r="31">
      <c r="A31">
        <f>IF(ISTEXT(B30), A30+1, A30)</f>
        <v/>
      </c>
      <c r="B31">
        <f>IF(ISTEXT(B30), 1, B30+1)</f>
        <v/>
      </c>
      <c r="C31" t="inlineStr">
        <is>
          <t>Error log analysis</t>
        </is>
      </c>
      <c r="D31" t="inlineStr">
        <is>
          <t>Site</t>
        </is>
      </c>
      <c r="E31" t="inlineStr">
        <is>
          <t>☐ Not Started</t>
        </is>
      </c>
    </row>
    <row r="32">
      <c r="A32">
        <f>IF(ISTEXT(B31), A31+1, A31)</f>
        <v/>
      </c>
      <c r="B32">
        <f>IF(ISTEXT(B31), 1, B31+1)</f>
        <v/>
      </c>
      <c r="C32" t="inlineStr">
        <is>
          <t>Remediation procedures</t>
        </is>
      </c>
      <c r="D32" t="inlineStr">
        <is>
          <t>Site</t>
        </is>
      </c>
      <c r="E32" t="inlineStr">
        <is>
          <t>☐ Not Started</t>
        </is>
      </c>
    </row>
    <row r="33">
      <c r="A33">
        <f>IF(ISTEXT(B32), A32+1, A32)</f>
        <v/>
      </c>
      <c r="B33">
        <f>IF(ISTEXT(B32), 1, B32+1)</f>
        <v/>
      </c>
      <c r="C33" t="inlineStr">
        <is>
          <t>When to restart vs. fix-forward</t>
        </is>
      </c>
      <c r="D33" t="inlineStr">
        <is>
          <t>Site</t>
        </is>
      </c>
      <c r="E33" t="inlineStr">
        <is>
          <t>☐ Not Started</t>
        </is>
      </c>
    </row>
    <row r="34">
      <c r="A34" s="5" t="n">
        <v>6</v>
      </c>
      <c r="B34" s="5" t="inlineStr">
        <is>
          <t>.5 Data Integrity Verification</t>
        </is>
      </c>
    </row>
    <row r="35">
      <c r="A35">
        <f>IF(ISTEXT(B34), A34+1, A34)</f>
        <v/>
      </c>
      <c r="B35">
        <f>IF(ISTEXT(B34), 1, B34+1)</f>
        <v/>
      </c>
      <c r="C35" t="inlineStr">
        <is>
          <t>Tag count reconciliation</t>
        </is>
      </c>
      <c r="D35" t="inlineStr">
        <is>
          <t>Site</t>
        </is>
      </c>
      <c r="E35" t="inlineStr">
        <is>
          <t>☐ Not Started</t>
        </is>
      </c>
    </row>
    <row r="36">
      <c r="A36">
        <f>IF(ISTEXT(B35), A35+1, A35)</f>
        <v/>
      </c>
      <c r="B36">
        <f>IF(ISTEXT(B35), 1, B35+1)</f>
        <v/>
      </c>
      <c r="C36" t="inlineStr">
        <is>
          <t>Asset structure validation</t>
        </is>
      </c>
      <c r="D36" t="inlineStr">
        <is>
          <t>Site</t>
        </is>
      </c>
      <c r="E36" t="inlineStr">
        <is>
          <t>☐ Not Started</t>
        </is>
      </c>
    </row>
    <row r="37">
      <c r="A37">
        <f>IF(ISTEXT(B36), A36+1, A36)</f>
        <v/>
      </c>
      <c r="B37">
        <f>IF(ISTEXT(B36), 1, B36+1)</f>
        <v/>
      </c>
      <c r="C37" t="inlineStr">
        <is>
          <t>Alarm limit verification</t>
        </is>
      </c>
      <c r="D37" t="inlineStr">
        <is>
          <t>Site</t>
        </is>
      </c>
      <c r="E37" t="inlineStr">
        <is>
          <t>☐ Not Started</t>
        </is>
      </c>
    </row>
    <row r="38">
      <c r="A38">
        <f>IF(ISTEXT(B37), A37+1, A37)</f>
        <v/>
      </c>
      <c r="B38">
        <f>IF(ISTEXT(B37), 1, B37+1)</f>
        <v/>
      </c>
      <c r="C38" t="inlineStr">
        <is>
          <t>Enforcement mapping confirmation</t>
        </is>
      </c>
      <c r="D38" t="inlineStr">
        <is>
          <t>Site</t>
        </is>
      </c>
      <c r="E38" t="inlineStr">
        <is>
          <t>☐ Not Started</t>
        </is>
      </c>
    </row>
    <row r="39">
      <c r="A39">
        <f>IF(ISTEXT(B38), A38+1, A38)</f>
        <v/>
      </c>
      <c r="B39">
        <f>IF(ISTEXT(B38), 1, B38+1)</f>
        <v/>
      </c>
      <c r="C39" t="inlineStr">
        <is>
          <t>Sample testing approach</t>
        </is>
      </c>
      <c r="D39" t="inlineStr">
        <is>
          <t>Site</t>
        </is>
      </c>
      <c r="E39" t="inlineStr">
        <is>
          <t>☐ Not Started</t>
        </is>
      </c>
    </row>
    <row r="40">
      <c r="A40" s="5" t="n">
        <v>7</v>
      </c>
      <c r="B40" s="5" t="inlineStr">
        <is>
          <t>.1 Running ACM and APO Concurrently</t>
        </is>
      </c>
    </row>
    <row r="41">
      <c r="A41">
        <f>IF(ISTEXT(B40), A40+1, A40)</f>
        <v/>
      </c>
      <c r="B41">
        <f>IF(ISTEXT(B40), 1, B40+1)</f>
        <v/>
      </c>
      <c r="C41" t="inlineStr">
        <is>
          <t>Infrastructure for parallel operations</t>
        </is>
      </c>
      <c r="D41" t="inlineStr">
        <is>
          <t>Site</t>
        </is>
      </c>
      <c r="E41" t="inlineStr">
        <is>
          <t>☐ Not Started</t>
        </is>
      </c>
    </row>
    <row r="42">
      <c r="A42">
        <f>IF(ISTEXT(B41), A41+1, A41)</f>
        <v/>
      </c>
      <c r="B42">
        <f>IF(ISTEXT(B41), 1, B41+1)</f>
        <v/>
      </c>
      <c r="C42" t="inlineStr">
        <is>
          <t>Data synchronization strategy</t>
        </is>
      </c>
      <c r="D42" t="inlineStr">
        <is>
          <t>Site</t>
        </is>
      </c>
      <c r="E42" t="inlineStr">
        <is>
          <t>☐ Not Started</t>
        </is>
      </c>
    </row>
    <row r="43">
      <c r="A43">
        <f>IF(ISTEXT(B42), A42+1, A42)</f>
        <v/>
      </c>
      <c r="B43">
        <f>IF(ISTEXT(B42), 1, B42+1)</f>
        <v/>
      </c>
      <c r="C43" t="inlineStr">
        <is>
          <t>Avoid OPC overload \ overlapping tasks (enforcements, tagsync)</t>
        </is>
      </c>
      <c r="D43" t="inlineStr">
        <is>
          <t>Site</t>
        </is>
      </c>
      <c r="E43" t="inlineStr">
        <is>
          <t>☐ Not Started</t>
        </is>
      </c>
    </row>
    <row r="44">
      <c r="A44">
        <f>IF(ISTEXT(B43), A43+1, A43)</f>
        <v/>
      </c>
      <c r="B44">
        <f>IF(ISTEXT(B43), 1, B43+1)</f>
        <v/>
      </c>
      <c r="C44" t="inlineStr">
        <is>
          <t>Operator interface management (which system is primary?)</t>
        </is>
      </c>
      <c r="D44" t="inlineStr">
        <is>
          <t>Site</t>
        </is>
      </c>
      <c r="E44" t="inlineStr">
        <is>
          <t>☐ Not Started</t>
        </is>
      </c>
    </row>
    <row r="45">
      <c r="A45" s="5" t="n">
        <v>8</v>
      </c>
      <c r="B45" s="5" t="inlineStr">
        <is>
          <t>.2 Critical Considerations for Enforcements</t>
        </is>
      </c>
    </row>
    <row r="46">
      <c r="A46">
        <f>IF(ISTEXT(B45), A45+1, A45)</f>
        <v/>
      </c>
      <c r="B46">
        <f>IF(ISTEXT(B45), 1, B45+1)</f>
        <v/>
      </c>
      <c r="C46" t="inlineStr">
        <is>
          <t>Static enforcements: Parallel operation approach</t>
        </is>
      </c>
      <c r="D46" t="inlineStr">
        <is>
          <t>Site</t>
        </is>
      </c>
      <c r="E46" t="inlineStr">
        <is>
          <t>☐ Not Started</t>
        </is>
      </c>
    </row>
    <row r="47">
      <c r="A47">
        <f>IF(ISTEXT(B46), A46+1, A46)</f>
        <v/>
      </c>
      <c r="B47">
        <f>IF(ISTEXT(B46), 1, B46+1)</f>
        <v/>
      </c>
      <c r="C47" t="inlineStr">
        <is>
          <t>Dynamic mode enforcements: High-risk scenarios</t>
        </is>
      </c>
      <c r="D47" t="inlineStr">
        <is>
          <t>Site</t>
        </is>
      </c>
      <c r="E47" t="inlineStr">
        <is>
          <t>☐ Not Started</t>
        </is>
      </c>
    </row>
    <row r="48">
      <c r="A48">
        <f>IF(ISTEXT(B47), A47+1, A47)</f>
        <v/>
      </c>
      <c r="B48">
        <f>IF(ISTEXT(B47), 1, B47+1)</f>
        <v/>
      </c>
      <c r="C48" t="inlineStr">
        <is>
          <t>Testing enforcements without impacting DCS</t>
        </is>
      </c>
      <c r="D48" t="inlineStr">
        <is>
          <t>Site</t>
        </is>
      </c>
      <c r="E48" t="inlineStr">
        <is>
          <t>☐ Not Started</t>
        </is>
      </c>
    </row>
    <row r="49">
      <c r="A49">
        <f>IF(ISTEXT(B48), A48+1, A48)</f>
        <v/>
      </c>
      <c r="B49">
        <f>IF(ISTEXT(B48), 1, B48+1)</f>
        <v/>
      </c>
      <c r="C49" t="inlineStr">
        <is>
          <t>Enforcement cutover planning</t>
        </is>
      </c>
      <c r="D49" t="inlineStr">
        <is>
          <t>Site</t>
        </is>
      </c>
      <c r="E49" t="inlineStr">
        <is>
          <t>☐ Not Started</t>
        </is>
      </c>
    </row>
    <row r="50">
      <c r="A50" s="5" t="n">
        <v>9</v>
      </c>
      <c r="B50" s="5" t="inlineStr">
        <is>
          <t>.3 Conflict Resolution Procedures</t>
        </is>
      </c>
    </row>
    <row r="51">
      <c r="A51">
        <f>IF(ISTEXT(B50), A50+1, A50)</f>
        <v/>
      </c>
      <c r="B51">
        <f>IF(ISTEXT(B50), 1, B50+1)</f>
        <v/>
      </c>
      <c r="C51" t="inlineStr">
        <is>
          <t>Change request management during parallel operations</t>
        </is>
      </c>
      <c r="D51" t="inlineStr">
        <is>
          <t>Site</t>
        </is>
      </c>
      <c r="E51" t="inlineStr">
        <is>
          <t>☐ Not Started</t>
        </is>
      </c>
    </row>
    <row r="52">
      <c r="A52">
        <f>IF(ISTEXT(B51), A51+1, A51)</f>
        <v/>
      </c>
      <c r="B52">
        <f>IF(ISTEXT(B51), 1, B51+1)</f>
        <v/>
      </c>
      <c r="C52" t="inlineStr">
        <is>
          <t>Which system is source of truth?</t>
        </is>
      </c>
      <c r="D52" t="inlineStr">
        <is>
          <t>Site</t>
        </is>
      </c>
      <c r="E52" t="inlineStr">
        <is>
          <t>☐ Not Started</t>
        </is>
      </c>
    </row>
    <row r="53">
      <c r="A53">
        <f>IF(ISTEXT(B52), A52+1, A52)</f>
        <v/>
      </c>
      <c r="B53">
        <f>IF(ISTEXT(B52), 1, B52+1)</f>
        <v/>
      </c>
      <c r="C53" t="inlineStr">
        <is>
          <t>Merging changes from both systems</t>
        </is>
      </c>
      <c r="D53" t="inlineStr">
        <is>
          <t>Site</t>
        </is>
      </c>
      <c r="E53" t="inlineStr">
        <is>
          <t>☐ Not Started</t>
        </is>
      </c>
    </row>
    <row r="54">
      <c r="A54" s="5" t="n">
        <v>10</v>
      </c>
      <c r="B54" s="5" t="inlineStr">
        <is>
          <t>.4 Performance Monitoring</t>
        </is>
      </c>
    </row>
    <row r="55">
      <c r="A55">
        <f>IF(ISTEXT(B54), A54+1, A54)</f>
        <v/>
      </c>
      <c r="B55">
        <f>IF(ISTEXT(B54), 1, B54+1)</f>
        <v/>
      </c>
      <c r="C55" t="inlineStr">
        <is>
          <t>System resource utilization</t>
        </is>
      </c>
      <c r="D55" t="inlineStr">
        <is>
          <t>Site</t>
        </is>
      </c>
      <c r="E55" t="inlineStr">
        <is>
          <t>☐ Not Started</t>
        </is>
      </c>
    </row>
    <row r="56">
      <c r="A56">
        <f>IF(ISTEXT(B55), A55+1, A55)</f>
        <v/>
      </c>
      <c r="B56">
        <f>IF(ISTEXT(B55), 1, B55+1)</f>
        <v/>
      </c>
      <c r="C56" t="inlineStr">
        <is>
          <t>Response time monitoring</t>
        </is>
      </c>
      <c r="D56" t="inlineStr">
        <is>
          <t>Site</t>
        </is>
      </c>
      <c r="E56" t="inlineStr">
        <is>
          <t>☐ Not Started</t>
        </is>
      </c>
    </row>
    <row r="57">
      <c r="A57">
        <f>IF(ISTEXT(B56), A56+1, A56)</f>
        <v/>
      </c>
      <c r="B57">
        <f>IF(ISTEXT(B56), 1, B56+1)</f>
        <v/>
      </c>
      <c r="C57" t="inlineStr">
        <is>
          <t>Operator workload assessment</t>
        </is>
      </c>
      <c r="D57" t="inlineStr">
        <is>
          <t>Site</t>
        </is>
      </c>
      <c r="E57" t="inlineStr">
        <is>
          <t>☐ Not Started</t>
        </is>
      </c>
    </row>
  </sheetData>
  <conditionalFormatting sqref="D2:D57">
    <cfRule type="cellIs" priority="1" operator="equal" dxfId="0">
      <formula>"Custom"</formula>
    </cfRule>
    <cfRule type="cellIs" priority="2" operator="equal" dxfId="1">
      <formula>"Vendor"</formula>
    </cfRule>
    <cfRule type="cellIs" priority="3" operator="equal" dxfId="2">
      <formula>"IT\\OT"</formula>
    </cfRule>
    <cfRule type="cellIs" priority="4" operator="equal" dxfId="2">
      <formula>"IT/OT"</formula>
    </cfRule>
    <cfRule type="cellIs" priority="5" operator="equal" dxfId="3">
      <formula>"Site"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60" customWidth="1" min="3" max="3"/>
    <col width="12" customWidth="1" min="4" max="4"/>
    <col width="15" customWidth="1" min="5" max="5"/>
    <col width="30" customWidth="1" min="6" max="6"/>
    <col width="15" customWidth="1" min="7" max="7"/>
  </cols>
  <sheetData>
    <row r="1">
      <c r="A1" s="4" t="inlineStr">
        <is>
          <t>#</t>
        </is>
      </c>
      <c r="B1" s="4" t="inlineStr">
        <is>
          <t>Item #</t>
        </is>
      </c>
      <c r="C1" s="4" t="inlineStr">
        <is>
          <t>Task</t>
        </is>
      </c>
      <c r="D1" s="4" t="inlineStr">
        <is>
          <t>Owner</t>
        </is>
      </c>
      <c r="E1" s="4" t="inlineStr">
        <is>
          <t>Status</t>
        </is>
      </c>
      <c r="F1" s="4" t="inlineStr">
        <is>
          <t>Notes</t>
        </is>
      </c>
      <c r="G1" s="4" t="inlineStr">
        <is>
          <t>Prerequisites</t>
        </is>
      </c>
    </row>
    <row r="2">
      <c r="A2" s="5" t="n">
        <v>1</v>
      </c>
      <c r="B2" s="5" t="inlineStr">
        <is>
          <t>Migration Execution Tasks</t>
        </is>
      </c>
    </row>
    <row r="3">
      <c r="A3">
        <f>IF(ISTEXT(B2), A2+1, A2)</f>
        <v/>
      </c>
      <c r="B3">
        <f>IF(ISTEXT(B2), 1, B2+1)</f>
        <v/>
      </c>
      <c r="C3" t="inlineStr">
        <is>
          <t>Execution</t>
        </is>
      </c>
    </row>
    <row r="4">
      <c r="A4">
        <f>IF(ISTEXT(B3), A3+1, A3)</f>
        <v/>
      </c>
      <c r="B4">
        <f>IF(ISTEXT(B3), 1, B3+1)</f>
        <v/>
      </c>
      <c r="C4" t="inlineStr">
        <is>
          <t>Run ACM to APO migration tool</t>
        </is>
      </c>
      <c r="D4" t="inlineStr">
        <is>
          <t>Vendor</t>
        </is>
      </c>
      <c r="E4" t="inlineStr">
        <is>
          <t>☐ Not Started</t>
        </is>
      </c>
    </row>
    <row r="5">
      <c r="A5">
        <f>IF(ISTEXT(B4), A4+1, A4)</f>
        <v/>
      </c>
      <c r="B5">
        <f>IF(ISTEXT(B4), 1, B4+1)</f>
        <v/>
      </c>
      <c r="C5" t="inlineStr">
        <is>
          <t>Validate data transfer completeness</t>
        </is>
      </c>
      <c r="D5" t="inlineStr">
        <is>
          <t>Vendor</t>
        </is>
      </c>
      <c r="E5" t="inlineStr">
        <is>
          <t>☐ Not Started</t>
        </is>
      </c>
    </row>
    <row r="6">
      <c r="A6">
        <f>IF(ISTEXT(B5), A5+1, A5)</f>
        <v/>
      </c>
      <c r="B6">
        <f>IF(ISTEXT(B5), 1, B5+1)</f>
        <v/>
      </c>
      <c r="C6" t="inlineStr">
        <is>
          <t>Configuration</t>
        </is>
      </c>
    </row>
    <row r="7">
      <c r="A7">
        <f>IF(ISTEXT(B6), A6+1, A6)</f>
        <v/>
      </c>
      <c r="B7">
        <f>IF(ISTEXT(B6), 1, B6+1)</f>
        <v/>
      </c>
      <c r="C7" t="inlineStr">
        <is>
          <t>Configure APO site settings</t>
        </is>
      </c>
      <c r="D7" t="inlineStr">
        <is>
          <t>Site</t>
        </is>
      </c>
      <c r="E7" t="inlineStr">
        <is>
          <t>☐ Not Started</t>
        </is>
      </c>
    </row>
  </sheetData>
  <conditionalFormatting sqref="D2:D7">
    <cfRule type="cellIs" priority="1" operator="equal" dxfId="0">
      <formula>"Custom"</formula>
    </cfRule>
    <cfRule type="cellIs" priority="2" operator="equal" dxfId="1">
      <formula>"Vendor"</formula>
    </cfRule>
    <cfRule type="cellIs" priority="3" operator="equal" dxfId="2">
      <formula>"IT\\OT"</formula>
    </cfRule>
    <cfRule type="cellIs" priority="4" operator="equal" dxfId="2">
      <formula>"IT/OT"</formula>
    </cfRule>
    <cfRule type="cellIs" priority="5" operator="equal" dxfId="3">
      <formula>"Site"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60" customWidth="1" min="3" max="3"/>
    <col width="12" customWidth="1" min="4" max="4"/>
    <col width="15" customWidth="1" min="5" max="5"/>
    <col width="30" customWidth="1" min="6" max="6"/>
    <col width="15" customWidth="1" min="7" max="7"/>
  </cols>
  <sheetData>
    <row r="1">
      <c r="A1" s="4" t="inlineStr">
        <is>
          <t>#</t>
        </is>
      </c>
      <c r="B1" s="4" t="inlineStr">
        <is>
          <t>Item #</t>
        </is>
      </c>
      <c r="C1" s="4" t="inlineStr">
        <is>
          <t>Task</t>
        </is>
      </c>
      <c r="D1" s="4" t="inlineStr">
        <is>
          <t>Owner</t>
        </is>
      </c>
      <c r="E1" s="4" t="inlineStr">
        <is>
          <t>Status</t>
        </is>
      </c>
      <c r="F1" s="4" t="inlineStr">
        <is>
          <t>Notes</t>
        </is>
      </c>
      <c r="G1" s="4" t="inlineStr">
        <is>
          <t>Prerequisites</t>
        </is>
      </c>
    </row>
    <row r="2">
      <c r="A2">
        <f>IF(ISTEXT(B1), A1+1, A1)</f>
        <v/>
      </c>
      <c r="B2">
        <f>IF(ISTEXT(B1), 1, B1+1)</f>
        <v/>
      </c>
      <c r="C2" t="inlineStr">
        <is>
          <t>Parallel Operation Setup</t>
        </is>
      </c>
    </row>
    <row r="3">
      <c r="A3">
        <f>IF(ISTEXT(B2), A2+1, A2)</f>
        <v/>
      </c>
      <c r="B3">
        <f>IF(ISTEXT(B2), 1, B2+1)</f>
        <v/>
      </c>
      <c r="C3" t="inlineStr">
        <is>
          <t>Configuration</t>
        </is>
      </c>
    </row>
    <row r="4">
      <c r="A4">
        <f>IF(ISTEXT(B3), A3+1, A3)</f>
        <v/>
      </c>
      <c r="B4">
        <f>IF(ISTEXT(B3), 1, B3+1)</f>
        <v/>
      </c>
      <c r="C4" t="inlineStr">
        <is>
          <t>Run ACM and APO in parallel (30-90 days)</t>
        </is>
      </c>
      <c r="D4" t="inlineStr">
        <is>
          <t>Site</t>
        </is>
      </c>
      <c r="E4" t="inlineStr">
        <is>
          <t>☐ Not Started</t>
        </is>
      </c>
    </row>
    <row r="5">
      <c r="A5">
        <f>IF(ISTEXT(B4), A4+1, A4)</f>
        <v/>
      </c>
      <c r="B5">
        <f>IF(ISTEXT(B4), 1, B4+1)</f>
        <v/>
      </c>
      <c r="C5" t="inlineStr">
        <is>
          <t>Maintain ACM for fallback capability</t>
        </is>
      </c>
      <c r="D5" t="inlineStr">
        <is>
          <t>Site</t>
        </is>
      </c>
      <c r="E5" t="inlineStr">
        <is>
          <t>☐ Not Started</t>
        </is>
      </c>
    </row>
    <row r="6">
      <c r="A6">
        <f>IF(ISTEXT(B5), A5+1, A5)</f>
        <v/>
      </c>
      <c r="B6">
        <f>IF(ISTEXT(B5), 1, B5+1)</f>
        <v/>
      </c>
      <c r="C6" t="inlineStr">
        <is>
          <t>Monitor both systems for discrepancies</t>
        </is>
      </c>
      <c r="D6" t="inlineStr">
        <is>
          <t>Site</t>
        </is>
      </c>
      <c r="E6" t="inlineStr">
        <is>
          <t>☐ Not Started</t>
        </is>
      </c>
    </row>
    <row r="7">
      <c r="A7">
        <f>IF(ISTEXT(B6), A6+1, A6)</f>
        <v/>
      </c>
      <c r="B7">
        <f>IF(ISTEXT(B6), 1, B6+1)</f>
        <v/>
      </c>
      <c r="C7" t="inlineStr">
        <is>
          <t>Data Validation</t>
        </is>
      </c>
    </row>
    <row r="8">
      <c r="A8">
        <f>IF(ISTEXT(B7), A7+1, A7)</f>
        <v/>
      </c>
      <c r="B8">
        <f>IF(ISTEXT(B7), 1, B7+1)</f>
        <v/>
      </c>
      <c r="C8" t="inlineStr">
        <is>
          <t>Testing</t>
        </is>
      </c>
    </row>
    <row r="9">
      <c r="A9">
        <f>IF(ISTEXT(B8), A8+1, A8)</f>
        <v/>
      </c>
      <c r="B9">
        <f>IF(ISTEXT(B8), 1, B8+1)</f>
        <v/>
      </c>
      <c r="C9" t="inlineStr">
        <is>
          <t>Compare ACM and APO alarm counts</t>
        </is>
      </c>
      <c r="D9" t="inlineStr">
        <is>
          <t>Site</t>
        </is>
      </c>
      <c r="E9" t="inlineStr">
        <is>
          <t>☐ Not Started</t>
        </is>
      </c>
    </row>
    <row r="10">
      <c r="A10">
        <f>IF(ISTEXT(B9), A9+1, A9)</f>
        <v/>
      </c>
      <c r="B10">
        <f>IF(ISTEXT(B9), 1, B9+1)</f>
        <v/>
      </c>
      <c r="C10" t="inlineStr">
        <is>
          <t>Validate enforcement execution</t>
        </is>
      </c>
      <c r="D10" t="inlineStr">
        <is>
          <t>Site</t>
        </is>
      </c>
      <c r="E10" t="inlineStr">
        <is>
          <t>☐ Not Started</t>
        </is>
      </c>
    </row>
    <row r="11">
      <c r="A11">
        <f>IF(ISTEXT(B10), A10+1, A10)</f>
        <v/>
      </c>
      <c r="B11">
        <f>IF(ISTEXT(B10), 1, B10+1)</f>
        <v/>
      </c>
      <c r="C11" t="inlineStr">
        <is>
          <t>Verify reporting accuracy</t>
        </is>
      </c>
      <c r="D11" t="inlineStr">
        <is>
          <t>Site</t>
        </is>
      </c>
      <c r="E11" t="inlineStr">
        <is>
          <t>☐ Not Started</t>
        </is>
      </c>
    </row>
    <row r="12">
      <c r="A12">
        <f>IF(ISTEXT(B11), A11+1, A11)</f>
        <v/>
      </c>
      <c r="B12">
        <f>IF(ISTEXT(B11), 1, B11+1)</f>
        <v/>
      </c>
      <c r="C12" t="inlineStr">
        <is>
          <t>Test custom solutions in APO</t>
        </is>
      </c>
      <c r="D12" t="inlineStr">
        <is>
          <t>Custom</t>
        </is>
      </c>
      <c r="E12" t="inlineStr">
        <is>
          <t>☐ Not Started</t>
        </is>
      </c>
    </row>
    <row r="13">
      <c r="A13">
        <f>IF(ISTEXT(B12), A12+1, A12)</f>
        <v/>
      </c>
      <c r="B13">
        <f>IF(ISTEXT(B12), 1, B12+1)</f>
        <v/>
      </c>
      <c r="C13" t="inlineStr">
        <is>
          <t>Performance Validation</t>
        </is>
      </c>
    </row>
    <row r="14">
      <c r="A14">
        <f>IF(ISTEXT(B13), A13+1, A13)</f>
        <v/>
      </c>
      <c r="B14">
        <f>IF(ISTEXT(B13), 1, B13+1)</f>
        <v/>
      </c>
      <c r="C14" t="inlineStr">
        <is>
          <t>Metrics</t>
        </is>
      </c>
    </row>
    <row r="15">
      <c r="A15">
        <f>IF(ISTEXT(B14), A14+1, A14)</f>
        <v/>
      </c>
      <c r="B15">
        <f>IF(ISTEXT(B14), 1, B14+1)</f>
        <v/>
      </c>
      <c r="C15" t="inlineStr">
        <is>
          <t>Monitor sync accuracy (Standard vs Alternative)</t>
        </is>
      </c>
      <c r="D15" t="inlineStr">
        <is>
          <t>Site</t>
        </is>
      </c>
      <c r="E15" t="inlineStr">
        <is>
          <t>☐ Not Started</t>
        </is>
      </c>
    </row>
    <row r="16">
      <c r="A16">
        <f>IF(ISTEXT(B15), A15+1, A15)</f>
        <v/>
      </c>
      <c r="B16">
        <f>IF(ISTEXT(B15), 1, B15+1)</f>
        <v/>
      </c>
      <c r="C16" t="inlineStr">
        <is>
          <t>Verify KPI calculations match ISA 18.2 requirements</t>
        </is>
      </c>
      <c r="D16" t="inlineStr">
        <is>
          <t>Site</t>
        </is>
      </c>
      <c r="E16" t="inlineStr">
        <is>
          <t>☐ Not Started</t>
        </is>
      </c>
    </row>
    <row r="17">
      <c r="A17">
        <f>IF(ISTEXT(B16), A16+1, A16)</f>
        <v/>
      </c>
      <c r="B17">
        <f>IF(ISTEXT(B16), 1, B16+1)</f>
        <v/>
      </c>
      <c r="C17" t="inlineStr">
        <is>
          <t>Validate daily health check notifications</t>
        </is>
      </c>
      <c r="D17" t="inlineStr">
        <is>
          <t>Custom</t>
        </is>
      </c>
      <c r="E17" t="inlineStr">
        <is>
          <t>☐ Not Started</t>
        </is>
      </c>
    </row>
  </sheetData>
  <conditionalFormatting sqref="D2:D17">
    <cfRule type="cellIs" priority="1" operator="equal" dxfId="0">
      <formula>"Custom"</formula>
    </cfRule>
    <cfRule type="cellIs" priority="2" operator="equal" dxfId="1">
      <formula>"Vendor"</formula>
    </cfRule>
    <cfRule type="cellIs" priority="3" operator="equal" dxfId="2">
      <formula>"IT\\OT"</formula>
    </cfRule>
    <cfRule type="cellIs" priority="4" operator="equal" dxfId="2">
      <formula>"IT/OT"</formula>
    </cfRule>
    <cfRule type="cellIs" priority="5" operator="equal" dxfId="3">
      <formula>"Site"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60" customWidth="1" min="3" max="3"/>
    <col width="12" customWidth="1" min="4" max="4"/>
    <col width="15" customWidth="1" min="5" max="5"/>
    <col width="30" customWidth="1" min="6" max="6"/>
    <col width="15" customWidth="1" min="7" max="7"/>
  </cols>
  <sheetData>
    <row r="1">
      <c r="A1" s="4" t="inlineStr">
        <is>
          <t>#</t>
        </is>
      </c>
      <c r="B1" s="4" t="inlineStr">
        <is>
          <t>Item #</t>
        </is>
      </c>
      <c r="C1" s="4" t="inlineStr">
        <is>
          <t>Task</t>
        </is>
      </c>
      <c r="D1" s="4" t="inlineStr">
        <is>
          <t>Owner</t>
        </is>
      </c>
      <c r="E1" s="4" t="inlineStr">
        <is>
          <t>Status</t>
        </is>
      </c>
      <c r="F1" s="4" t="inlineStr">
        <is>
          <t>Notes</t>
        </is>
      </c>
      <c r="G1" s="4" t="inlineStr">
        <is>
          <t>Prerequisites</t>
        </is>
      </c>
    </row>
    <row r="2">
      <c r="A2">
        <f>IF(ISTEXT(B1), A1+1, A1)</f>
        <v/>
      </c>
      <c r="B2">
        <f>IF(ISTEXT(B1), 1, B1+1)</f>
        <v/>
      </c>
      <c r="C2" t="inlineStr">
        <is>
          <t>Pre-Cutover</t>
        </is>
      </c>
    </row>
    <row r="3">
      <c r="A3">
        <f>IF(ISTEXT(B2), A2+1, A2)</f>
        <v/>
      </c>
      <c r="B3">
        <f>IF(ISTEXT(B2), 1, B2+1)</f>
        <v/>
      </c>
      <c r="C3" t="inlineStr">
        <is>
          <t>Validation</t>
        </is>
      </c>
    </row>
    <row r="4">
      <c r="A4">
        <f>IF(ISTEXT(B3), A3+1, A3)</f>
        <v/>
      </c>
      <c r="B4">
        <f>IF(ISTEXT(B3), 1, B3+1)</f>
        <v/>
      </c>
      <c r="C4" t="inlineStr">
        <is>
          <t>Final ACM vs APO comparison</t>
        </is>
      </c>
      <c r="D4" t="inlineStr">
        <is>
          <t>Site</t>
        </is>
      </c>
      <c r="E4" t="inlineStr">
        <is>
          <t>☐ Not Started</t>
        </is>
      </c>
    </row>
    <row r="5">
      <c r="A5">
        <f>IF(ISTEXT(B4), A4+1, A4)</f>
        <v/>
      </c>
      <c r="B5">
        <f>IF(ISTEXT(B4), 1, B4+1)</f>
        <v/>
      </c>
      <c r="C5" t="inlineStr">
        <is>
          <t>⚠️ CRITICAL: Confirm all enforcements tested</t>
        </is>
      </c>
      <c r="D5" t="inlineStr">
        <is>
          <t>Site</t>
        </is>
      </c>
      <c r="E5" t="inlineStr">
        <is>
          <t>☐ Not Started</t>
        </is>
      </c>
    </row>
    <row r="6">
      <c r="A6">
        <f>IF(ISTEXT(B5), A5+1, A5)</f>
        <v/>
      </c>
      <c r="B6">
        <f>IF(ISTEXT(B5), 1, B5+1)</f>
        <v/>
      </c>
      <c r="C6" t="inlineStr">
        <is>
          <t>Document any known issues and workarounds</t>
        </is>
      </c>
      <c r="D6" t="inlineStr">
        <is>
          <t>Site</t>
        </is>
      </c>
      <c r="E6" t="inlineStr">
        <is>
          <t>☐ Not Started</t>
        </is>
      </c>
    </row>
    <row r="7">
      <c r="A7">
        <f>IF(ISTEXT(B6), A6+1, A6)</f>
        <v/>
      </c>
      <c r="B7">
        <f>IF(ISTEXT(B6), 1, B6+1)</f>
        <v/>
      </c>
      <c r="C7" t="inlineStr">
        <is>
          <t>Communication</t>
        </is>
      </c>
    </row>
    <row r="8">
      <c r="A8">
        <f>IF(ISTEXT(B7), A7+1, A7)</f>
        <v/>
      </c>
      <c r="B8">
        <f>IF(ISTEXT(B7), 1, B7+1)</f>
        <v/>
      </c>
      <c r="C8" t="inlineStr">
        <is>
          <t>Notify operations of cutover schedule</t>
        </is>
      </c>
      <c r="D8" t="inlineStr">
        <is>
          <t>Site</t>
        </is>
      </c>
      <c r="E8" t="inlineStr">
        <is>
          <t>☐ Not Started</t>
        </is>
      </c>
    </row>
    <row r="9">
      <c r="A9">
        <f>IF(ISTEXT(B8), A8+1, A8)</f>
        <v/>
      </c>
      <c r="B9">
        <f>IF(ISTEXT(B8), 1, B8+1)</f>
        <v/>
      </c>
      <c r="C9" t="inlineStr">
        <is>
          <t>Cutover Execution</t>
        </is>
      </c>
    </row>
    <row r="10">
      <c r="A10">
        <f>IF(ISTEXT(B9), A9+1, A9)</f>
        <v/>
      </c>
      <c r="B10">
        <f>IF(ISTEXT(B9), 1, B9+1)</f>
        <v/>
      </c>
      <c r="C10" t="inlineStr">
        <is>
          <t>Cutover</t>
        </is>
      </c>
    </row>
    <row r="11">
      <c r="A11">
        <f>IF(ISTEXT(B10), A10+1, A10)</f>
        <v/>
      </c>
      <c r="B11">
        <f>IF(ISTEXT(B10), 1, B10+1)</f>
        <v/>
      </c>
      <c r="C11" t="inlineStr">
        <is>
          <t>Disable ACM enforcements</t>
        </is>
      </c>
      <c r="D11" t="inlineStr">
        <is>
          <t>Site</t>
        </is>
      </c>
      <c r="E11" t="inlineStr">
        <is>
          <t>☐ Not Started</t>
        </is>
      </c>
    </row>
    <row r="12">
      <c r="A12">
        <f>IF(ISTEXT(B11), A11+1, A11)</f>
        <v/>
      </c>
      <c r="B12">
        <f>IF(ISTEXT(B11), 1, B11+1)</f>
        <v/>
      </c>
      <c r="C12" t="inlineStr">
        <is>
          <t>Enable APO enforcements</t>
        </is>
      </c>
      <c r="D12" t="inlineStr">
        <is>
          <t>Site</t>
        </is>
      </c>
      <c r="E12" t="inlineStr">
        <is>
          <t>☐ Not Started</t>
        </is>
      </c>
    </row>
    <row r="13">
      <c r="A13">
        <f>IF(ISTEXT(B12), A12+1, A12)</f>
        <v/>
      </c>
      <c r="B13">
        <f>IF(ISTEXT(B12), 1, B12+1)</f>
        <v/>
      </c>
      <c r="C13" t="inlineStr">
        <is>
          <t>Monitor first 24 hours closely</t>
        </is>
      </c>
      <c r="D13" t="inlineStr">
        <is>
          <t>Site</t>
        </is>
      </c>
      <c r="E13" t="inlineStr">
        <is>
          <t>☐ Not Started</t>
        </is>
      </c>
    </row>
    <row r="14">
      <c r="A14">
        <f>IF(ISTEXT(B13), A13+1, A13)</f>
        <v/>
      </c>
      <c r="B14">
        <f>IF(ISTEXT(B13), 1, B13+1)</f>
        <v/>
      </c>
      <c r="C14" t="inlineStr">
        <is>
          <t>Verify DCS and APO in sync</t>
        </is>
      </c>
      <c r="D14" t="inlineStr">
        <is>
          <t>Site</t>
        </is>
      </c>
      <c r="E14" t="inlineStr">
        <is>
          <t>☐ Not Started</t>
        </is>
      </c>
    </row>
    <row r="15">
      <c r="A15">
        <f>IF(ISTEXT(B14), A14+1, A14)</f>
        <v/>
      </c>
      <c r="B15">
        <f>IF(ISTEXT(B14), 1, B14+1)</f>
        <v/>
      </c>
      <c r="C15" t="inlineStr">
        <is>
          <t>ACM Decommission</t>
        </is>
      </c>
    </row>
    <row r="16">
      <c r="A16">
        <f>IF(ISTEXT(B15), A15+1, A15)</f>
        <v/>
      </c>
      <c r="B16">
        <f>IF(ISTEXT(B15), 1, B15+1)</f>
        <v/>
      </c>
      <c r="C16" t="inlineStr">
        <is>
          <t>Decommission</t>
        </is>
      </c>
    </row>
    <row r="17">
      <c r="A17">
        <f>IF(ISTEXT(B16), A16+1, A16)</f>
        <v/>
      </c>
      <c r="B17">
        <f>IF(ISTEXT(B16), 1, B16+1)</f>
        <v/>
      </c>
      <c r="C17" t="inlineStr">
        <is>
          <t>Retain ACM for 90 days as backup</t>
        </is>
      </c>
      <c r="D17" t="inlineStr">
        <is>
          <t>Site</t>
        </is>
      </c>
      <c r="E17" t="inlineStr">
        <is>
          <t>☐ Not Started</t>
        </is>
      </c>
    </row>
    <row r="18">
      <c r="A18">
        <f>IF(ISTEXT(B17), A17+1, A17)</f>
        <v/>
      </c>
      <c r="B18">
        <f>IF(ISTEXT(B17), 1, B17+1)</f>
        <v/>
      </c>
      <c r="C18" t="inlineStr">
        <is>
          <t>Archive ACM database</t>
        </is>
      </c>
      <c r="D18" t="inlineStr">
        <is>
          <t>Site</t>
        </is>
      </c>
      <c r="E18" t="inlineStr">
        <is>
          <t>☐ Not Started</t>
        </is>
      </c>
    </row>
    <row r="19">
      <c r="A19">
        <f>IF(ISTEXT(B18), A18+1, A18)</f>
        <v/>
      </c>
      <c r="B19">
        <f>IF(ISTEXT(B18), 1, B18+1)</f>
        <v/>
      </c>
      <c r="C19" t="inlineStr">
        <is>
          <t>Remove ACM services (after approval)</t>
        </is>
      </c>
      <c r="D19" t="inlineStr">
        <is>
          <t>IT/OT</t>
        </is>
      </c>
      <c r="E19" t="inlineStr">
        <is>
          <t>☐ Not Started</t>
        </is>
      </c>
    </row>
  </sheetData>
  <conditionalFormatting sqref="D2:D19">
    <cfRule type="cellIs" priority="1" operator="equal" dxfId="0">
      <formula>"Custom"</formula>
    </cfRule>
    <cfRule type="cellIs" priority="2" operator="equal" dxfId="1">
      <formula>"Vendor"</formula>
    </cfRule>
    <cfRule type="cellIs" priority="3" operator="equal" dxfId="2">
      <formula>"IT\\OT"</formula>
    </cfRule>
    <cfRule type="cellIs" priority="4" operator="equal" dxfId="2">
      <formula>"IT/OT"</formula>
    </cfRule>
    <cfRule type="cellIs" priority="5" operator="equal" dxfId="3">
      <formula>"Site"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60" customWidth="1" min="3" max="3"/>
    <col width="12" customWidth="1" min="4" max="4"/>
    <col width="15" customWidth="1" min="5" max="5"/>
    <col width="30" customWidth="1" min="6" max="6"/>
    <col width="15" customWidth="1" min="7" max="7"/>
  </cols>
  <sheetData>
    <row r="1">
      <c r="A1" s="4" t="inlineStr">
        <is>
          <t>#</t>
        </is>
      </c>
      <c r="B1" s="4" t="inlineStr">
        <is>
          <t>Item #</t>
        </is>
      </c>
      <c r="C1" s="4" t="inlineStr">
        <is>
          <t>Task</t>
        </is>
      </c>
      <c r="D1" s="4" t="inlineStr">
        <is>
          <t>Owner</t>
        </is>
      </c>
      <c r="E1" s="4" t="inlineStr">
        <is>
          <t>Status</t>
        </is>
      </c>
      <c r="F1" s="4" t="inlineStr">
        <is>
          <t>Notes</t>
        </is>
      </c>
      <c r="G1" s="4" t="inlineStr">
        <is>
          <t>Prerequisites</t>
        </is>
      </c>
    </row>
    <row r="2">
      <c r="A2" s="5" t="n">
        <v>1</v>
      </c>
      <c r="B2" s="5" t="inlineStr">
        <is>
          <t>Optimization Tasks</t>
        </is>
      </c>
    </row>
    <row r="3">
      <c r="A3" s="5" t="n">
        <v>2</v>
      </c>
      <c r="B3" s="5" t="inlineStr">
        <is>
          <t>.1 Regular Database Maintenance</t>
        </is>
      </c>
    </row>
    <row r="4">
      <c r="A4">
        <f>IF(ISTEXT(B3), A3+1, A3)</f>
        <v/>
      </c>
      <c r="B4">
        <f>IF(ISTEXT(B3), 1, B3+1)</f>
        <v/>
      </c>
      <c r="C4" t="inlineStr">
        <is>
          <t>Weekly maintenance tasks</t>
        </is>
      </c>
      <c r="D4" t="inlineStr">
        <is>
          <t>Site</t>
        </is>
      </c>
      <c r="E4" t="inlineStr">
        <is>
          <t>☐ Not Started</t>
        </is>
      </c>
    </row>
    <row r="5">
      <c r="A5">
        <f>IF(ISTEXT(B4), A4+1, A4)</f>
        <v/>
      </c>
      <c r="B5">
        <f>IF(ISTEXT(B4), 1, B4+1)</f>
        <v/>
      </c>
      <c r="C5" t="inlineStr">
        <is>
          <t>Monthly optimization activities</t>
        </is>
      </c>
      <c r="D5" t="inlineStr">
        <is>
          <t>Site</t>
        </is>
      </c>
      <c r="E5" t="inlineStr">
        <is>
          <t>☐ Not Started</t>
        </is>
      </c>
    </row>
    <row r="6">
      <c r="A6">
        <f>IF(ISTEXT(B5), A5+1, A5)</f>
        <v/>
      </c>
      <c r="B6">
        <f>IF(ISTEXT(B5), 1, B5+1)</f>
        <v/>
      </c>
      <c r="C6" t="inlineStr">
        <is>
          <t>Quarterly health assessments</t>
        </is>
      </c>
      <c r="D6" t="inlineStr">
        <is>
          <t>Site</t>
        </is>
      </c>
      <c r="E6" t="inlineStr">
        <is>
          <t>☐ Not Started</t>
        </is>
      </c>
    </row>
    <row r="7">
      <c r="A7" s="5" t="n">
        <v>3</v>
      </c>
      <c r="B7" s="5" t="inlineStr">
        <is>
          <t>.2 License Optimization (Ongoing)</t>
        </is>
      </c>
    </row>
    <row r="8">
      <c r="A8">
        <f>IF(ISTEXT(B7), A7+1, A7)</f>
        <v/>
      </c>
      <c r="B8">
        <f>IF(ISTEXT(B7), 1, B7+1)</f>
        <v/>
      </c>
      <c r="C8" t="inlineStr">
        <is>
          <t>Ghost tag monitoring and removal</t>
        </is>
      </c>
      <c r="D8" t="inlineStr">
        <is>
          <t>Site</t>
        </is>
      </c>
      <c r="E8" t="inlineStr">
        <is>
          <t>☐ Not Started</t>
        </is>
      </c>
    </row>
    <row r="9">
      <c r="A9">
        <f>IF(ISTEXT(B8), A8+1, A8)</f>
        <v/>
      </c>
      <c r="B9">
        <f>IF(ISTEXT(B8), 1, B8+1)</f>
        <v/>
      </c>
      <c r="C9" t="inlineStr">
        <is>
          <t>License consumption trending</t>
        </is>
      </c>
      <c r="D9" t="inlineStr">
        <is>
          <t>Site</t>
        </is>
      </c>
      <c r="E9" t="inlineStr">
        <is>
          <t>☐ Not Started</t>
        </is>
      </c>
    </row>
    <row r="10">
      <c r="A10">
        <f>IF(ISTEXT(B9), A9+1, A9)</f>
        <v/>
      </c>
      <c r="B10">
        <f>IF(ISTEXT(B9), 1, B9+1)</f>
        <v/>
      </c>
      <c r="C10" t="inlineStr">
        <is>
          <t>Optimization opportunities identification</t>
        </is>
      </c>
      <c r="D10" t="inlineStr">
        <is>
          <t>Site</t>
        </is>
      </c>
      <c r="E10" t="inlineStr">
        <is>
          <t>☐ Not Started</t>
        </is>
      </c>
    </row>
    <row r="11">
      <c r="A11" s="5" t="n">
        <v>4</v>
      </c>
      <c r="B11" s="5" t="inlineStr">
        <is>
          <t>.3 Performance Tuning</t>
        </is>
      </c>
    </row>
    <row r="12">
      <c r="A12">
        <f>IF(ISTEXT(B11), A11+1, A11)</f>
        <v/>
      </c>
      <c r="B12">
        <f>IF(ISTEXT(B11), 1, B11+1)</f>
        <v/>
      </c>
      <c r="C12" t="inlineStr">
        <is>
          <t>Query optimization</t>
        </is>
      </c>
      <c r="D12" t="inlineStr">
        <is>
          <t>Site</t>
        </is>
      </c>
      <c r="E12" t="inlineStr">
        <is>
          <t>☐ Not Started</t>
        </is>
      </c>
    </row>
    <row r="13">
      <c r="A13">
        <f>IF(ISTEXT(B12), A12+1, A12)</f>
        <v/>
      </c>
      <c r="B13">
        <f>IF(ISTEXT(B12), 1, B12+1)</f>
        <v/>
      </c>
      <c r="C13" t="inlineStr">
        <is>
          <t>Index maintenance</t>
        </is>
      </c>
      <c r="D13" t="inlineStr">
        <is>
          <t>Site</t>
        </is>
      </c>
      <c r="E13" t="inlineStr">
        <is>
          <t>☐ Not Started</t>
        </is>
      </c>
    </row>
    <row r="14">
      <c r="A14">
        <f>IF(ISTEXT(B13), A13+1, A13)</f>
        <v/>
      </c>
      <c r="B14">
        <f>IF(ISTEXT(B13), 1, B13+1)</f>
        <v/>
      </c>
      <c r="C14" t="inlineStr">
        <is>
          <t>Resource utilization monitoring</t>
        </is>
      </c>
      <c r="D14" t="inlineStr">
        <is>
          <t>Site</t>
        </is>
      </c>
      <c r="E14" t="inlineStr">
        <is>
          <t>☐ Not Started</t>
        </is>
      </c>
    </row>
    <row r="15">
      <c r="A15" s="5" t="n">
        <v>5</v>
      </c>
      <c r="B15" s="5" t="inlineStr">
        <is>
          <t>.4 User Feedback Incorporation</t>
        </is>
      </c>
    </row>
    <row r="16">
      <c r="A16">
        <f>IF(ISTEXT(B15), A15+1, A15)</f>
        <v/>
      </c>
      <c r="B16">
        <f>IF(ISTEXT(B15), 1, B15+1)</f>
        <v/>
      </c>
      <c r="C16" t="inlineStr">
        <is>
          <t>Regular operator surveys</t>
        </is>
      </c>
      <c r="D16" t="inlineStr">
        <is>
          <t>Site</t>
        </is>
      </c>
      <c r="E16" t="inlineStr">
        <is>
          <t>☐ Not Started</t>
        </is>
      </c>
    </row>
    <row r="17">
      <c r="A17">
        <f>IF(ISTEXT(B16), A16+1, A16)</f>
        <v/>
      </c>
      <c r="B17">
        <f>IF(ISTEXT(B16), 1, B16+1)</f>
        <v/>
      </c>
      <c r="C17" t="inlineStr">
        <is>
          <t>Usability improvement initiatives</t>
        </is>
      </c>
      <c r="D17" t="inlineStr">
        <is>
          <t>Site</t>
        </is>
      </c>
      <c r="E17" t="inlineStr">
        <is>
          <t>☐ Not Started</t>
        </is>
      </c>
    </row>
    <row r="18">
      <c r="A18">
        <f>IF(ISTEXT(B17), A17+1, A17)</f>
        <v/>
      </c>
      <c r="B18">
        <f>IF(ISTEXT(B17), 1, B17+1)</f>
        <v/>
      </c>
      <c r="C18" t="inlineStr">
        <is>
          <t>Feature request tracking</t>
        </is>
      </c>
      <c r="D18" t="inlineStr">
        <is>
          <t>Site</t>
        </is>
      </c>
      <c r="E18" t="inlineStr">
        <is>
          <t>☐ Not Started</t>
        </is>
      </c>
    </row>
  </sheetData>
  <conditionalFormatting sqref="D2:D18">
    <cfRule type="cellIs" priority="1" operator="equal" dxfId="0">
      <formula>"Custom"</formula>
    </cfRule>
    <cfRule type="cellIs" priority="2" operator="equal" dxfId="1">
      <formula>"Vendor"</formula>
    </cfRule>
    <cfRule type="cellIs" priority="3" operator="equal" dxfId="2">
      <formula>"IT\\OT"</formula>
    </cfRule>
    <cfRule type="cellIs" priority="4" operator="equal" dxfId="2">
      <formula>"IT/OT"</formula>
    </cfRule>
    <cfRule type="cellIs" priority="5" operator="equal" dxfId="3">
      <formula>"Site"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2026-01-27T22:16:02Z</dcterms:created>
  <dcterms:modified xmlns:dcterms="http://purl.org/dc/terms/" xmlns:xsi="http://www.w3.org/2001/XMLSchema-instance" xsi:type="dcterms:W3CDTF">2026-01-27T22:16:05Z</dcterms:modified>
</cp:coreProperties>
</file>