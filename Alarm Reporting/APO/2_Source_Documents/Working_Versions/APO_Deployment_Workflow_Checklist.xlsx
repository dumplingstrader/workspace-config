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ympc-my.sharepoint.com/personal/bschubert_marathonpetroleum_com1/Documents/Documents/_Los Angeles Refinery (LAR)/__LAR Documents/"/>
    </mc:Choice>
  </mc:AlternateContent>
  <xr:revisionPtr revIDLastSave="747" documentId="8_{9C8AF581-DF2A-43F8-ADE1-8638242ED3E2}" xr6:coauthVersionLast="47" xr6:coauthVersionMax="47" xr10:uidLastSave="{542BF383-0E66-4CEE-9D39-E99AE159898C}"/>
  <bookViews>
    <workbookView xWindow="-120" yWindow="-120" windowWidth="29040" windowHeight="15720" tabRatio="966" firstSheet="2" activeTab="2" xr2:uid="{00000000-000D-0000-FFFF-FFFF00000000}"/>
  </bookViews>
  <sheets>
    <sheet name="Executive Summary DELETE" sheetId="1" r:id="rId1"/>
    <sheet name="Executive Summary" sheetId="13" r:id="rId2"/>
    <sheet name="Follow Up" sheetId="14" r:id="rId3"/>
    <sheet name="0-Cleanup (Pre-license)" sheetId="7" r:id="rId4"/>
    <sheet name="1-Custom Solutions" sheetId="10" r:id="rId5"/>
    <sheet name="2-Pre-Planning" sheetId="2" r:id="rId6"/>
    <sheet name="3-OSW Completion" sheetId="3" r:id="rId7"/>
    <sheet name="4-Deployment Readiness" sheetId="5" r:id="rId8"/>
    <sheet name="5-Validation &amp; Go-Live" sheetId="6" r:id="rId9"/>
    <sheet name="6-Parallel run" sheetId="4" r:id="rId10"/>
    <sheet name="7-Decomission"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6" l="1"/>
  <c r="B21" i="6" s="1"/>
  <c r="B19" i="6"/>
  <c r="B85" i="7"/>
  <c r="A84" i="7"/>
  <c r="A82" i="7"/>
  <c r="A83" i="7"/>
  <c r="A85" i="7"/>
  <c r="A86" i="7" s="1"/>
  <c r="B31" i="2"/>
  <c r="A30" i="2"/>
  <c r="A31" i="2" s="1"/>
  <c r="B4" i="14"/>
  <c r="A3" i="14"/>
  <c r="A4" i="14" s="1"/>
  <c r="A8" i="13"/>
  <c r="A9" i="13" s="1"/>
  <c r="A10" i="13" s="1"/>
  <c r="A11" i="13" s="1"/>
  <c r="A12" i="13" s="1"/>
  <c r="A13" i="13" s="1"/>
  <c r="A14" i="13" s="1"/>
  <c r="A15" i="13" s="1"/>
  <c r="A16" i="13" s="1"/>
  <c r="A17" i="13" s="1"/>
  <c r="B14" i="12"/>
  <c r="A13" i="12"/>
  <c r="A14" i="12" s="1"/>
  <c r="B4" i="12"/>
  <c r="B6" i="12" s="1"/>
  <c r="B7" i="12" s="1"/>
  <c r="B8" i="12" s="1"/>
  <c r="A3" i="12"/>
  <c r="B4" i="3"/>
  <c r="B5" i="3" s="1"/>
  <c r="A3" i="3"/>
  <c r="A4" i="3" s="1"/>
  <c r="A5" i="3" s="1"/>
  <c r="A3" i="5"/>
  <c r="A4" i="5" s="1"/>
  <c r="B4" i="5"/>
  <c r="A5" i="6"/>
  <c r="A6" i="6" s="1"/>
  <c r="A7" i="6" s="1"/>
  <c r="A8" i="6" s="1"/>
  <c r="A9" i="6" s="1"/>
  <c r="A10" i="6" s="1"/>
  <c r="A11" i="6" s="1"/>
  <c r="A12" i="6" s="1"/>
  <c r="A13" i="6" s="1"/>
  <c r="A14" i="6" s="1"/>
  <c r="A15" i="6" s="1"/>
  <c r="A16" i="6" s="1"/>
  <c r="A17" i="6" s="1"/>
  <c r="A18" i="6" s="1"/>
  <c r="A20" i="6" s="1"/>
  <c r="A3" i="6"/>
  <c r="A4" i="6" s="1"/>
  <c r="A3" i="4"/>
  <c r="A4" i="4" s="1"/>
  <c r="B4" i="4"/>
  <c r="B5" i="4" s="1"/>
  <c r="B6" i="4" s="1"/>
  <c r="B7" i="4" s="1"/>
  <c r="B8" i="4" s="1"/>
  <c r="B9" i="4" s="1"/>
  <c r="B11" i="4" s="1"/>
  <c r="B12" i="4" s="1"/>
  <c r="B13" i="4" s="1"/>
  <c r="B14" i="4" s="1"/>
  <c r="B15" i="4" s="1"/>
  <c r="B16" i="4" s="1"/>
  <c r="B17" i="4" s="1"/>
  <c r="B19" i="4" s="1"/>
  <c r="B20" i="4" s="1"/>
  <c r="B21" i="4" s="1"/>
  <c r="B22" i="4" s="1"/>
  <c r="B23" i="4" s="1"/>
  <c r="B24" i="4" s="1"/>
  <c r="B25" i="4" s="1"/>
  <c r="B27" i="4" s="1"/>
  <c r="B28" i="4" s="1"/>
  <c r="B29" i="4" s="1"/>
  <c r="B30" i="4" s="1"/>
  <c r="B31" i="4" s="1"/>
  <c r="B32" i="4" s="1"/>
  <c r="B33" i="4" s="1"/>
  <c r="B34" i="4" s="1"/>
  <c r="B35" i="4" s="1"/>
  <c r="B9" i="2"/>
  <c r="A4" i="2"/>
  <c r="A5" i="2" s="1"/>
  <c r="A6" i="2" s="1"/>
  <c r="A7" i="2" s="1"/>
  <c r="A8" i="2" s="1"/>
  <c r="A9" i="2" s="1"/>
  <c r="A10" i="2" s="1"/>
  <c r="A3" i="2"/>
  <c r="B10" i="2"/>
  <c r="B11" i="2" s="1"/>
  <c r="B12" i="2" s="1"/>
  <c r="B13" i="2" s="1"/>
  <c r="B14" i="2" s="1"/>
  <c r="B16" i="2" s="1"/>
  <c r="B17" i="2" s="1"/>
  <c r="B18" i="2" s="1"/>
  <c r="B19" i="2" s="1"/>
  <c r="B21" i="2" s="1"/>
  <c r="B22" i="2" s="1"/>
  <c r="B24" i="2" s="1"/>
  <c r="B25" i="2" s="1"/>
  <c r="B26" i="2" s="1"/>
  <c r="B27" i="2" s="1"/>
  <c r="B28" i="2" s="1"/>
  <c r="B29" i="2" s="1"/>
  <c r="B4" i="2"/>
  <c r="B5" i="2" s="1"/>
  <c r="B6" i="2" s="1"/>
  <c r="B7" i="2" s="1"/>
  <c r="B4" i="10"/>
  <c r="B5" i="10" s="1"/>
  <c r="B6" i="10" s="1"/>
  <c r="B7" i="10" s="1"/>
  <c r="B9" i="10" s="1"/>
  <c r="B10" i="10" s="1"/>
  <c r="B11" i="10" s="1"/>
  <c r="B12" i="10" s="1"/>
  <c r="B13" i="10" s="1"/>
  <c r="B14" i="10" s="1"/>
  <c r="B16" i="10" s="1"/>
  <c r="B17" i="10" s="1"/>
  <c r="B18" i="10" s="1"/>
  <c r="B19" i="10" s="1"/>
  <c r="B20" i="10" s="1"/>
  <c r="B21" i="10" s="1"/>
  <c r="B23" i="10" s="1"/>
  <c r="B24" i="10" s="1"/>
  <c r="B25" i="10" s="1"/>
  <c r="B26" i="10" s="1"/>
  <c r="B27" i="10" s="1"/>
  <c r="B28" i="10" s="1"/>
  <c r="B30" i="10" s="1"/>
  <c r="B31" i="10" s="1"/>
  <c r="B32" i="10" s="1"/>
  <c r="B33" i="10" s="1"/>
  <c r="B34" i="10" s="1"/>
  <c r="B35" i="10" s="1"/>
  <c r="A3" i="10"/>
  <c r="A3" i="7"/>
  <c r="A4" i="7" s="1"/>
  <c r="B4" i="6"/>
  <c r="B5" i="6" s="1"/>
  <c r="B6" i="6" s="1"/>
  <c r="B7" i="6" s="1"/>
  <c r="B8" i="6" s="1"/>
  <c r="B9" i="6" s="1"/>
  <c r="B11" i="6" s="1"/>
  <c r="B12" i="6" s="1"/>
  <c r="B13" i="6" s="1"/>
  <c r="B14" i="6" s="1"/>
  <c r="B15" i="6" s="1"/>
  <c r="B16" i="6" s="1"/>
  <c r="B18" i="6" s="1"/>
  <c r="B4" i="7"/>
  <c r="B5" i="7" s="1"/>
  <c r="B6" i="7" s="1"/>
  <c r="B7" i="7" s="1"/>
  <c r="B9" i="7" s="1"/>
  <c r="B10" i="7" s="1"/>
  <c r="A5" i="4" l="1"/>
  <c r="A6" i="4" s="1"/>
  <c r="A7" i="4" s="1"/>
  <c r="A8" i="4" s="1"/>
  <c r="A9" i="4" s="1"/>
  <c r="A10" i="4" s="1"/>
  <c r="A11" i="4" s="1"/>
  <c r="B22" i="6"/>
  <c r="B23" i="6" s="1"/>
  <c r="B24" i="6" s="1"/>
  <c r="B25" i="6" s="1"/>
  <c r="B27" i="6" s="1"/>
  <c r="B28" i="6" s="1"/>
  <c r="B29" i="6" s="1"/>
  <c r="B30" i="6" s="1"/>
  <c r="B31" i="6" s="1"/>
  <c r="B32" i="6" s="1"/>
  <c r="B33" i="6" s="1"/>
  <c r="B34" i="6" s="1"/>
  <c r="B35" i="6" s="1"/>
  <c r="A21" i="6"/>
  <c r="A22" i="6" s="1"/>
  <c r="A23" i="6" s="1"/>
  <c r="A24" i="6" s="1"/>
  <c r="A25" i="6" s="1"/>
  <c r="A26" i="6" s="1"/>
  <c r="A27" i="6" s="1"/>
  <c r="A28" i="6" s="1"/>
  <c r="A29" i="6" s="1"/>
  <c r="A30" i="6" s="1"/>
  <c r="A31" i="6" s="1"/>
  <c r="A32" i="6" s="1"/>
  <c r="A33" i="6" s="1"/>
  <c r="A34" i="6" s="1"/>
  <c r="A35" i="6" s="1"/>
  <c r="A36" i="6" s="1"/>
  <c r="A37" i="6" s="1"/>
  <c r="B37" i="6"/>
  <c r="B86" i="7"/>
  <c r="B32" i="2"/>
  <c r="A32" i="2"/>
  <c r="B5" i="14"/>
  <c r="A5" i="14"/>
  <c r="A5" i="7"/>
  <c r="A6" i="7" s="1"/>
  <c r="A7" i="7" s="1"/>
  <c r="A8" i="7" s="1"/>
  <c r="A9" i="7" s="1"/>
  <c r="A10" i="7" s="1"/>
  <c r="A11" i="7" s="1"/>
  <c r="A12" i="7" s="1"/>
  <c r="A13" i="7" s="1"/>
  <c r="A14" i="7" s="1"/>
  <c r="A15" i="7" s="1"/>
  <c r="A16" i="7" s="1"/>
  <c r="A17" i="7" s="1"/>
  <c r="A18" i="7" s="1"/>
  <c r="A18" i="13"/>
  <c r="A19" i="13" s="1"/>
  <c r="A20" i="13" s="1"/>
  <c r="A21" i="13" s="1"/>
  <c r="A22" i="13" s="1"/>
  <c r="A15" i="12"/>
  <c r="B15" i="12"/>
  <c r="B37" i="10"/>
  <c r="B38" i="10" s="1"/>
  <c r="A4" i="12"/>
  <c r="A5" i="12" s="1"/>
  <c r="A6" i="12" s="1"/>
  <c r="A7" i="12" s="1"/>
  <c r="A8" i="12" s="1"/>
  <c r="A9" i="12" s="1"/>
  <c r="B5" i="5"/>
  <c r="A5" i="5"/>
  <c r="A12" i="4"/>
  <c r="A13" i="4" s="1"/>
  <c r="A14" i="4" s="1"/>
  <c r="A15" i="4" s="1"/>
  <c r="A16" i="4" s="1"/>
  <c r="A17" i="4" s="1"/>
  <c r="B9" i="12"/>
  <c r="A6" i="3"/>
  <c r="B6" i="3"/>
  <c r="A18" i="4"/>
  <c r="A19" i="4" s="1"/>
  <c r="A20" i="4" s="1"/>
  <c r="A21" i="4" s="1"/>
  <c r="A22" i="4" s="1"/>
  <c r="A23" i="4" s="1"/>
  <c r="A24" i="4" s="1"/>
  <c r="A25" i="4" s="1"/>
  <c r="A11" i="2"/>
  <c r="A12" i="2" s="1"/>
  <c r="A13" i="2" s="1"/>
  <c r="A14" i="2" s="1"/>
  <c r="A15" i="2"/>
  <c r="A16" i="2" s="1"/>
  <c r="A17" i="2" s="1"/>
  <c r="A18" i="2" s="1"/>
  <c r="A19" i="2" s="1"/>
  <c r="A20" i="2" s="1"/>
  <c r="A21" i="2" s="1"/>
  <c r="A22" i="2" s="1"/>
  <c r="A23" i="2" s="1"/>
  <c r="A24" i="2" s="1"/>
  <c r="A25" i="2" s="1"/>
  <c r="A26" i="2" s="1"/>
  <c r="A27" i="2" s="1"/>
  <c r="A28" i="2" s="1"/>
  <c r="A29" i="2" s="1"/>
  <c r="A4" i="10"/>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B11" i="7"/>
  <c r="B12" i="7" s="1"/>
  <c r="B13" i="7" s="1"/>
  <c r="B14" i="7" s="1"/>
  <c r="B16" i="7" s="1"/>
  <c r="B17" i="7" s="1"/>
  <c r="B18" i="7" s="1"/>
  <c r="B38" i="6" l="1"/>
  <c r="A38" i="6"/>
  <c r="A39" i="6" s="1"/>
  <c r="A87" i="7"/>
  <c r="B87" i="7"/>
  <c r="A33" i="2"/>
  <c r="B33" i="2"/>
  <c r="B6" i="14"/>
  <c r="A6" i="14"/>
  <c r="A23" i="13"/>
  <c r="A24" i="13" s="1"/>
  <c r="A25" i="13" s="1"/>
  <c r="A26" i="13" s="1"/>
  <c r="A27"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9" i="13" s="1"/>
  <c r="A70" i="13" s="1"/>
  <c r="A71" i="13" s="1"/>
  <c r="A72" i="13" s="1"/>
  <c r="A16" i="12"/>
  <c r="B16" i="12"/>
  <c r="A6" i="5"/>
  <c r="A7" i="5" s="1"/>
  <c r="B7" i="5"/>
  <c r="A10" i="12"/>
  <c r="B10" i="12"/>
  <c r="A7" i="3"/>
  <c r="A39" i="10"/>
  <c r="B39" i="10"/>
  <c r="B39" i="6"/>
  <c r="A26" i="4"/>
  <c r="A27" i="4" s="1"/>
  <c r="A28" i="4" s="1"/>
  <c r="A29" i="4" s="1"/>
  <c r="A30" i="4" s="1"/>
  <c r="A31" i="4" s="1"/>
  <c r="A32" i="4" s="1"/>
  <c r="A33" i="4" s="1"/>
  <c r="A34" i="4" s="1"/>
  <c r="A35" i="4" s="1"/>
  <c r="A19" i="7"/>
  <c r="B19" i="7"/>
  <c r="B20" i="7" s="1"/>
  <c r="B21" i="7" s="1"/>
  <c r="B23" i="7" s="1"/>
  <c r="B24" i="7" s="1"/>
  <c r="B25" i="7" s="1"/>
  <c r="B26" i="7" s="1"/>
  <c r="B27" i="7" s="1"/>
  <c r="B28" i="7" s="1"/>
  <c r="B30" i="7" s="1"/>
  <c r="B31" i="7" s="1"/>
  <c r="B32" i="7" s="1"/>
  <c r="B33" i="7" s="1"/>
  <c r="B34" i="7" s="1"/>
  <c r="B35" i="7" s="1"/>
  <c r="B36" i="7" s="1"/>
  <c r="B37" i="7" s="1"/>
  <c r="B38" i="7" s="1"/>
  <c r="B39" i="7" s="1"/>
  <c r="B40" i="7" s="1"/>
  <c r="B41" i="7" s="1"/>
  <c r="B42" i="7" s="1"/>
  <c r="B44" i="7" s="1"/>
  <c r="B46" i="7" s="1"/>
  <c r="B48" i="7" s="1"/>
  <c r="B49" i="7" s="1"/>
  <c r="B50" i="7" s="1"/>
  <c r="B51" i="7" s="1"/>
  <c r="B52" i="7" s="1"/>
  <c r="B53" i="7" s="1"/>
  <c r="B54" i="7" s="1"/>
  <c r="B55" i="7" s="1"/>
  <c r="A73" i="13" l="1"/>
  <c r="A74" i="13" s="1"/>
  <c r="A75" i="13" s="1"/>
  <c r="A76" i="13" s="1"/>
  <c r="A77" i="13" s="1"/>
  <c r="A78" i="13" s="1"/>
  <c r="A79" i="13" s="1"/>
  <c r="A80" i="13" s="1"/>
  <c r="A81" i="13" s="1"/>
  <c r="A82" i="13" s="1"/>
  <c r="A83" i="13" s="1"/>
  <c r="A84" i="13" s="1"/>
  <c r="A88" i="7"/>
  <c r="B88" i="7"/>
  <c r="A34" i="2"/>
  <c r="B34" i="2"/>
  <c r="B7" i="14"/>
  <c r="A7" i="14"/>
  <c r="A20" i="7"/>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B57" i="7"/>
  <c r="B59" i="7" s="1"/>
  <c r="B60" i="7" s="1"/>
  <c r="B61" i="7" s="1"/>
  <c r="B62" i="7" s="1"/>
  <c r="B63" i="7" s="1"/>
  <c r="B64" i="7" s="1"/>
  <c r="B65" i="7" s="1"/>
  <c r="B66" i="7" s="1"/>
  <c r="B67" i="7" s="1"/>
  <c r="B68" i="7" s="1"/>
  <c r="B69" i="7" s="1"/>
  <c r="B70" i="7" s="1"/>
  <c r="B71" i="7" s="1"/>
  <c r="B72" i="7" s="1"/>
  <c r="B74" i="7" s="1"/>
  <c r="B76" i="7" s="1"/>
  <c r="B17" i="12"/>
  <c r="A17" i="12"/>
  <c r="B8" i="5"/>
  <c r="B9" i="5" s="1"/>
  <c r="B10" i="5" s="1"/>
  <c r="B11" i="5" s="1"/>
  <c r="B12" i="5" s="1"/>
  <c r="B13" i="5" s="1"/>
  <c r="B14" i="5" s="1"/>
  <c r="B15" i="5" s="1"/>
  <c r="B16" i="5" s="1"/>
  <c r="B17" i="5" s="1"/>
  <c r="B18" i="5" s="1"/>
  <c r="A8" i="5"/>
  <c r="A18" i="5" s="1"/>
  <c r="A20" i="5" s="1"/>
  <c r="A21" i="5" s="1"/>
  <c r="A11" i="12"/>
  <c r="B11" i="12"/>
  <c r="B12" i="12" s="1"/>
  <c r="B25" i="12" s="1"/>
  <c r="B26" i="12" s="1"/>
  <c r="A40" i="10"/>
  <c r="B40" i="10"/>
  <c r="A40" i="6"/>
  <c r="B40" i="6"/>
  <c r="B78" i="7" l="1"/>
  <c r="A89" i="7"/>
  <c r="B89" i="7"/>
  <c r="A35" i="2"/>
  <c r="B35" i="2"/>
  <c r="A8" i="14"/>
  <c r="A9" i="14" s="1"/>
  <c r="B9" i="14"/>
  <c r="A56" i="7"/>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B18" i="12"/>
  <c r="A18" i="12"/>
  <c r="B19" i="5"/>
  <c r="B21" i="5"/>
  <c r="A12" i="12"/>
  <c r="A24" i="12" s="1"/>
  <c r="A25" i="12" s="1"/>
  <c r="A26" i="12" s="1"/>
  <c r="A27" i="12" s="1"/>
  <c r="B27" i="12"/>
  <c r="B28" i="12" s="1"/>
  <c r="B29" i="12" s="1"/>
  <c r="B30" i="12" s="1"/>
  <c r="B31" i="12" s="1"/>
  <c r="B32" i="12" s="1"/>
  <c r="B33" i="12" s="1"/>
  <c r="B34" i="12" s="1"/>
  <c r="A41" i="10"/>
  <c r="B41" i="10"/>
  <c r="A41" i="6"/>
  <c r="B41" i="6"/>
  <c r="B7" i="3"/>
  <c r="A8" i="3" s="1"/>
  <c r="A9" i="3" s="1"/>
  <c r="A79" i="7" l="1"/>
  <c r="B79" i="7"/>
  <c r="A90" i="7"/>
  <c r="B90" i="7"/>
  <c r="A36" i="2"/>
  <c r="B36" i="2"/>
  <c r="B37" i="2" s="1"/>
  <c r="B10" i="14"/>
  <c r="A10" i="14"/>
  <c r="A19" i="12"/>
  <c r="B19" i="12"/>
  <c r="A28" i="12"/>
  <c r="A29" i="12" s="1"/>
  <c r="A30" i="12" s="1"/>
  <c r="A31" i="12" s="1"/>
  <c r="A32" i="12" s="1"/>
  <c r="A33" i="12" s="1"/>
  <c r="A34" i="12" s="1"/>
  <c r="A35" i="12" s="1"/>
  <c r="A36" i="12" s="1"/>
  <c r="A22" i="5"/>
  <c r="B22" i="5"/>
  <c r="B23" i="5" s="1"/>
  <c r="B24" i="5" s="1"/>
  <c r="B25" i="5" s="1"/>
  <c r="B26" i="5" s="1"/>
  <c r="B27" i="5" s="1"/>
  <c r="B28" i="5" s="1"/>
  <c r="B29" i="5" s="1"/>
  <c r="B30" i="5" s="1"/>
  <c r="B32" i="5" s="1"/>
  <c r="B33" i="5" s="1"/>
  <c r="B36" i="12"/>
  <c r="B37" i="12" s="1"/>
  <c r="B38" i="12" s="1"/>
  <c r="B39" i="12" s="1"/>
  <c r="B40" i="12" s="1"/>
  <c r="A42" i="10"/>
  <c r="B42" i="10"/>
  <c r="A42" i="6"/>
  <c r="B42" i="6"/>
  <c r="B9" i="3"/>
  <c r="A10" i="3" s="1"/>
  <c r="A80" i="7" l="1"/>
  <c r="B80" i="7"/>
  <c r="A11" i="14"/>
  <c r="B11" i="14"/>
  <c r="A20" i="12"/>
  <c r="B20" i="12"/>
  <c r="B34" i="5"/>
  <c r="B35" i="5" s="1"/>
  <c r="B36" i="5" s="1"/>
  <c r="B38" i="5" s="1"/>
  <c r="B39" i="5" s="1"/>
  <c r="B40" i="5" s="1"/>
  <c r="B41" i="5" s="1"/>
  <c r="B42" i="5" s="1"/>
  <c r="B44" i="5" s="1"/>
  <c r="B45" i="5" s="1"/>
  <c r="B46" i="5" s="1"/>
  <c r="B47" i="5" s="1"/>
  <c r="B49" i="5" s="1"/>
  <c r="B50" i="5" s="1"/>
  <c r="B51" i="5" s="1"/>
  <c r="B52" i="5" s="1"/>
  <c r="B53" i="5" s="1"/>
  <c r="B54" i="5" s="1"/>
  <c r="B55" i="5" s="1"/>
  <c r="A23" i="5"/>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37" i="12"/>
  <c r="A38" i="12" s="1"/>
  <c r="A39" i="12" s="1"/>
  <c r="A40" i="12" s="1"/>
  <c r="A43" i="6"/>
  <c r="B43" i="6"/>
  <c r="B10" i="3"/>
  <c r="A11" i="3" s="1"/>
  <c r="B81" i="7" l="1"/>
  <c r="A81" i="7"/>
  <c r="B12" i="14"/>
  <c r="A12" i="14"/>
  <c r="B21" i="12"/>
  <c r="A21" i="12"/>
  <c r="A44" i="6"/>
  <c r="B44" i="6"/>
  <c r="B11" i="3"/>
  <c r="A12" i="3" s="1"/>
  <c r="B82" i="7" l="1"/>
  <c r="A16" i="14"/>
  <c r="B13" i="14"/>
  <c r="A13" i="14"/>
  <c r="A22" i="12"/>
  <c r="B22" i="12"/>
  <c r="A45" i="6"/>
  <c r="B45" i="6"/>
  <c r="B12" i="3"/>
  <c r="A13" i="3" s="1"/>
  <c r="B47" i="6" l="1"/>
  <c r="A46" i="6"/>
  <c r="A47" i="6" s="1"/>
  <c r="B83" i="7"/>
  <c r="B14" i="14"/>
  <c r="B15" i="14" s="1"/>
  <c r="B16" i="14" s="1"/>
  <c r="B17" i="14" s="1"/>
  <c r="A17" i="14"/>
  <c r="B23" i="12"/>
  <c r="A23" i="12"/>
  <c r="B13" i="3"/>
  <c r="A14" i="3" s="1"/>
  <c r="B48" i="6" l="1"/>
  <c r="B49" i="6" s="1"/>
  <c r="B50" i="6" s="1"/>
  <c r="B51" i="6" s="1"/>
  <c r="B52" i="6" s="1"/>
  <c r="A48" i="6"/>
  <c r="A18" i="14"/>
  <c r="A19" i="14" s="1"/>
  <c r="B19" i="14"/>
  <c r="B14" i="3"/>
  <c r="A15" i="3" s="1"/>
  <c r="A16" i="3" s="1"/>
  <c r="B53" i="6" l="1"/>
  <c r="A49" i="6"/>
  <c r="A50" i="6" s="1"/>
  <c r="A51" i="6" s="1"/>
  <c r="A52" i="6" s="1"/>
  <c r="A53" i="6" s="1"/>
  <c r="B20" i="14"/>
  <c r="A20" i="14"/>
  <c r="B16" i="3"/>
  <c r="B54" i="6" l="1"/>
  <c r="B55" i="6" s="1"/>
  <c r="A54" i="6"/>
  <c r="A55" i="6" s="1"/>
  <c r="B21" i="14"/>
  <c r="A21" i="14"/>
  <c r="B17" i="3"/>
  <c r="A17" i="3"/>
  <c r="A22" i="14" l="1"/>
  <c r="B22" i="14"/>
  <c r="B18" i="3"/>
  <c r="A18" i="3"/>
  <c r="A23" i="14" l="1"/>
  <c r="B23" i="14"/>
  <c r="A19" i="3"/>
  <c r="A20" i="3" s="1"/>
  <c r="A21" i="3" s="1"/>
  <c r="A22" i="3" s="1"/>
  <c r="B19" i="3"/>
  <c r="B20" i="3" s="1"/>
  <c r="B21" i="3" s="1"/>
  <c r="B22" i="3" s="1"/>
  <c r="B24" i="14" l="1"/>
  <c r="A24" i="14"/>
  <c r="B26" i="14" l="1"/>
  <c r="A25" i="14"/>
  <c r="A26" i="14" s="1"/>
  <c r="A27" i="14" l="1"/>
  <c r="B27" i="14"/>
  <c r="A28" i="14" l="1"/>
  <c r="B28" i="14"/>
  <c r="A29" i="14" l="1"/>
  <c r="B29" i="14"/>
  <c r="B30" i="14" l="1"/>
  <c r="A30" i="14"/>
  <c r="A31" i="14" l="1"/>
  <c r="B31" i="14"/>
</calcChain>
</file>

<file path=xl/sharedStrings.xml><?xml version="1.0" encoding="utf-8"?>
<sst xmlns="http://schemas.openxmlformats.org/spreadsheetml/2006/main" count="1218" uniqueCount="542">
  <si>
    <t>HEXAGON INTEGRITY DEPLOYMENT - EXECUTIVE SUMMARY</t>
  </si>
  <si>
    <t>Critical Success Factors for Site Readiness</t>
  </si>
  <si>
    <t>Based on lessons learned from Marathon Petroleum multi-site deployments (ROB, LAR, GBR, SPP, GVL, SLC)</t>
  </si>
  <si>
    <t>🎯 PROJECT OBJECTIVES</t>
  </si>
  <si>
    <t>• Centralized control system configuration management across all refinery assets</t>
  </si>
  <si>
    <t>• Enable cross-system signal tracing (PLC → DCS → Safety → Monitoring)</t>
  </si>
  <si>
    <t>• Establish single pane of glass enterprise dashboard (L5 visibility)</t>
  </si>
  <si>
    <t>• Maintain asset integrity while implementing standardized hierarchies</t>
  </si>
  <si>
    <t>⚠️ TOP REASONS FOR DEPLOYMENT DELAYS &amp; COST OVERRUNS</t>
  </si>
  <si>
    <t>1. INCOMPLETE DATA COLLECTION (60% of delays)</t>
  </si>
  <si>
    <t xml:space="preserve">   • Missing L1 inventories (Relays, Vibration Monitoring, Analyzers not tracked by Process Control)</t>
  </si>
  <si>
    <t xml:space="preserve">   • Stakeholders engaged AFTER OSW sign-off instead of during planning</t>
  </si>
  <si>
    <t xml:space="preserve">   • Programs/backups not accessible on workstations when consultant arrives</t>
  </si>
  <si>
    <t xml:space="preserve">   → IMPACT: 3-6 week delays, $50K-$100K rework per site</t>
  </si>
  <si>
    <t>2. SCOPE CHANGES AFTER OSW SIGN-OFF (30% of cost overruns)</t>
  </si>
  <si>
    <t xml:space="preserve">   • Example: GBR added 1,614 new assets requiring complete database rebuild</t>
  </si>
  <si>
    <t xml:space="preserve">   • Asset hierarchy changes discovered during deployment (Area/Domain mismatches)</t>
  </si>
  <si>
    <t xml:space="preserve">   • Quote: "We were not informed about this project" - GBR site personnel</t>
  </si>
  <si>
    <t xml:space="preserve">   → IMPACT: $20K-$75K per scope change, 2-4 week schedule delays</t>
  </si>
  <si>
    <t>3. DATA MOVEMENT INFRASTRUCTURE NOT READY (20% of delays)</t>
  </si>
  <si>
    <t xml:space="preserve">   • L1→L2→L4 automated transfer not configured before deployment</t>
  </si>
  <si>
    <t xml:space="preserve">   • Server permissions/accounts not established</t>
  </si>
  <si>
    <t xml:space="preserve">   • SQL backup/restore not tested</t>
  </si>
  <si>
    <t xml:space="preserve">   → IMPACT: Deployment cannot start, 1-3 week delays</t>
  </si>
  <si>
    <t>4. TECHNICAL PREREQUISITE GAPS (15% of issues)</t>
  </si>
  <si>
    <t xml:space="preserve">   • Carbon Black blocking Hexagon utilities</t>
  </si>
  <si>
    <t xml:space="preserve">   • Missing vendor software/licenses on workstations</t>
  </si>
  <si>
    <t xml:space="preserve">   • Network architecture undecided (Azure migration, server locations)</t>
  </si>
  <si>
    <t xml:space="preserve">   → IMPACT: Consultant idle onsite, $10K-$30K wasted travel costs</t>
  </si>
  <si>
    <t>💰 FINANCIAL PERFORMANCE</t>
  </si>
  <si>
    <t>Marathon Program (Dec 2025): Budget Spent 43.8% | Work Complete 27.4% | CPI 0.62</t>
  </si>
  <si>
    <t>Translation: Spending $1.00 to get $0.62 worth of work</t>
  </si>
  <si>
    <t>Primary Cost Drivers: Re-work ($900/hr) + Pre-work ($275/hr) + Deviations ($275-900/hr)</t>
  </si>
  <si>
    <t>Sites with BEST Performance: Complete OSW before sign-off + Remote deployment + Single contact</t>
  </si>
  <si>
    <t>Savings: $15K-$25K travel per site when remote deployment used</t>
  </si>
  <si>
    <t>✅ CRITICAL SUCCESS FACTORS - DO THESE FIRST</t>
  </si>
  <si>
    <t>BEFORE OSW (3-4 weeks lead time):</t>
  </si>
  <si>
    <t xml:space="preserve">   1. Designate Site Lead (20% FTE, 6-8 weeks)</t>
  </si>
  <si>
    <t xml:space="preserve">   2. Engage ALL stakeholders: Process, Reliability, Electrical, IT/OT</t>
  </si>
  <si>
    <t xml:space="preserve">   3. Complete L1 inventory (use template)</t>
  </si>
  <si>
    <t xml:space="preserve">   4. Verify programs accessible</t>
  </si>
  <si>
    <t>DURING OSW (2-3 weeks):</t>
  </si>
  <si>
    <t xml:space="preserve">   5. Answer Hexagon questions within 48-72 hours</t>
  </si>
  <si>
    <t xml:space="preserve">   6. Validate hierarchies match FDS standards</t>
  </si>
  <si>
    <t xml:space="preserve">   7. Classify supported vs unsupported devices</t>
  </si>
  <si>
    <t xml:space="preserve">   8. Executive sign-off: No additions after OSW</t>
  </si>
  <si>
    <t>BEFORE DEPLOYMENT (1-2 weeks):</t>
  </si>
  <si>
    <t xml:space="preserve">   9. Complete Onsite Readiness 100%</t>
  </si>
  <si>
    <t xml:space="preserve">   10. Test L1→L4 data movement with fresh data</t>
  </si>
  <si>
    <t xml:space="preserve">   11. Establish accounts and grant access</t>
  </si>
  <si>
    <t xml:space="preserve">   12. Schedule SME availability</t>
  </si>
  <si>
    <t>📋 HOW TO USE THIS CHECKLIST</t>
  </si>
  <si>
    <t>Phase 1 - Pre-Planning (Week -4 to -1)</t>
  </si>
  <si>
    <t>Phase 2 - OSW Completion (Week 1-3)</t>
  </si>
  <si>
    <t>Phase 3 - Deployment Readiness (Week 4-5)</t>
  </si>
  <si>
    <t>Phase 4 - Data Collection (Week 6-8)</t>
  </si>
  <si>
    <t>Phase 5 - Validation &amp; Go-Live (Week 9-10)</t>
  </si>
  <si>
    <t>Each checklist tab includes:</t>
  </si>
  <si>
    <t>• Task description with clear accountability</t>
  </si>
  <si>
    <t>• Owner (Site/Hexagon/IT) color-coded</t>
  </si>
  <si>
    <t>• Status tracking column</t>
  </si>
  <si>
    <t>• Notes for issues/decisions</t>
  </si>
  <si>
    <t>• Prerequisites showing dependencies</t>
  </si>
  <si>
    <t>🎓 LESSONS LEARNED QUOTES</t>
  </si>
  <si>
    <t>"Ad-hoc model is not suited for such projects. GBR and SPP are examples of what NOT to do when planning. ROB is an example of what NOT to do when executing."</t>
  </si>
  <si>
    <t xml:space="preserve">   - Hexagon Delivery Manager, November 2025</t>
  </si>
  <si>
    <t>"If after sign-off the site adds more scope, it will lead to Change Orders and cost Marathon more money."</t>
  </si>
  <si>
    <t xml:space="preserve">   - Repeated in Multiple Status Meetings</t>
  </si>
  <si>
    <t>📞 SUPPORT</t>
  </si>
  <si>
    <t>Marathon: Keith Mazy, Don Clark (lar-integrityrequests@marathonpetroleum.com)</t>
  </si>
  <si>
    <t>Hexagon PM: (assigned during kickoff)</t>
  </si>
  <si>
    <t>Corporate IT: (Infrastructure team)</t>
  </si>
  <si>
    <t>Version 2.0 - Enhanced for Multi-Site Deployment (January 2026)</t>
  </si>
  <si>
    <t>Item #</t>
  </si>
  <si>
    <t>Task</t>
  </si>
  <si>
    <t>Owner</t>
  </si>
  <si>
    <t>Status</t>
  </si>
  <si>
    <t>Notes</t>
  </si>
  <si>
    <t>Prerequisites</t>
  </si>
  <si>
    <t>1. Stakeholder Engagement &amp; Project Setup</t>
  </si>
  <si>
    <t>Identify and engage Site Lead (20% FTE, 6-8 week commitment)</t>
  </si>
  <si>
    <t>Site</t>
  </si>
  <si>
    <t>Schedule kickoff meeting with Process Control, Reliability, Electrical, IT/OT stakeholders</t>
  </si>
  <si>
    <t>1</t>
  </si>
  <si>
    <t>Brief stakeholders on Integrity purpose, scope, timeline, and data requirements</t>
  </si>
  <si>
    <t>Hexagon</t>
  </si>
  <si>
    <t>2</t>
  </si>
  <si>
    <t>Establish weekly status meeting cadence with consistent attendees</t>
  </si>
  <si>
    <t>Designate single point of contact for Hexagon questions (48-72hr response SLA)</t>
  </si>
  <si>
    <t>2. L1 Inventory &amp; Device Discovery</t>
  </si>
  <si>
    <t>Complete L1 inventory template (DCS, PLC, Safety, Historian, Analyzers, Relays)</t>
  </si>
  <si>
    <t>Identify devices NOT managed by Process Control (Reliability, Electrical assets)</t>
  </si>
  <si>
    <t>2,7</t>
  </si>
  <si>
    <t>Document network architecture (L1→L2→L4→L5) with IP ranges and VLANs</t>
  </si>
  <si>
    <t>IT/OT</t>
  </si>
  <si>
    <t>Verify all L1 devices accessible from designated L2 workstation</t>
  </si>
  <si>
    <t>8</t>
  </si>
  <si>
    <t>Identify unsupported devices (Honeywell TDC2000, Foxboro I/A, obsolete systems)</t>
  </si>
  <si>
    <t>7,8</t>
  </si>
  <si>
    <t>Document external reference systems (Allen-Bradley, Triconex, Bently Nevada)</t>
  </si>
  <si>
    <t>3. Program Accessibility Verification</t>
  </si>
  <si>
    <t>Verify DCS backup files accessible (EPKS: .bak, .bkp, .stn)</t>
  </si>
  <si>
    <t>4</t>
  </si>
  <si>
    <t>Verify PLC programs accessible (RSLogix .ACD/.RSS, Control Studio)</t>
  </si>
  <si>
    <t>Verify Safety system exports available (Triconex, Safety Manager)</t>
  </si>
  <si>
    <t>Verify Historian configuration exports (PHD, OSIPi)</t>
  </si>
  <si>
    <t>Document program versions and last backup dates</t>
  </si>
  <si>
    <t>12-15</t>
  </si>
  <si>
    <t>Test restore/open programs on workstation to confirm readability</t>
  </si>
  <si>
    <t>4. Installation Decision (Onsite vs Remote)</t>
  </si>
  <si>
    <t>Assess site network security and remote access capability</t>
  </si>
  <si>
    <t>3,8</t>
  </si>
  <si>
    <t>Evaluate travel cost ($15K-$25K) vs security/policy constraints</t>
  </si>
  <si>
    <t>3</t>
  </si>
  <si>
    <t>If onsite: Reserve consultant workspace and schedule site access badging</t>
  </si>
  <si>
    <t>OSW complete</t>
  </si>
  <si>
    <t>If remote: Validate VPN/remote desktop performance with test session</t>
  </si>
  <si>
    <t>3,8,23</t>
  </si>
  <si>
    <t>Confirm Carbon Black/antivirus exceptions for Hexagon utilities</t>
  </si>
  <si>
    <t>23</t>
  </si>
  <si>
    <t>Document decision in OSW with rationale</t>
  </si>
  <si>
    <t>All above</t>
  </si>
  <si>
    <t>1. Onsite Scoping Workbook (OSW) Data Entry</t>
  </si>
  <si>
    <t>Complete Asset Hierarchy section (Site→Area→Unit→System→Subsystem)</t>
  </si>
  <si>
    <t>1-6</t>
  </si>
  <si>
    <t>Validate hierarchy matches FDS (Functional Design Specification) standards</t>
  </si>
  <si>
    <t>30</t>
  </si>
  <si>
    <t>Complete Device Inventory with manufacturer, model, communication protocol</t>
  </si>
  <si>
    <t>7-11</t>
  </si>
  <si>
    <t>Identify and classify external reference devices (import vs manual entry)</t>
  </si>
  <si>
    <t>10,11</t>
  </si>
  <si>
    <t>Document unsupported devices with justification for inclusion/exclusion</t>
  </si>
  <si>
    <t>10</t>
  </si>
  <si>
    <t>2. External Reference Configuration</t>
  </si>
  <si>
    <t>For ControlLogix/CompactLogix: Provide .L5X/.L5K export and I/O configuration</t>
  </si>
  <si>
    <t>13</t>
  </si>
  <si>
    <t>For PLC5/SLC: Provide .RSS export and addressing scheme</t>
  </si>
  <si>
    <t>For Triconex: Confirm EPKS External Reference or TPS import method</t>
  </si>
  <si>
    <t>14,15</t>
  </si>
  <si>
    <t>For Bently Nevada 3500/3600: Confirm DCS External Reference method</t>
  </si>
  <si>
    <t>11</t>
  </si>
  <si>
    <t>For Analyzers/Relays: Decide manual entry vs automated import</t>
  </si>
  <si>
    <t>Document all external reference connection strings and update frequencies</t>
  </si>
  <si>
    <t>35-40</t>
  </si>
  <si>
    <t>3. OSW Validation &amp; Sign-Off</t>
  </si>
  <si>
    <t>Hexagon reviews completed OSW for data completeness and accuracy</t>
  </si>
  <si>
    <t>30-35</t>
  </si>
  <si>
    <t>Site reviews and confirms all devices in scope (NO additions after sign-off)</t>
  </si>
  <si>
    <t>36</t>
  </si>
  <si>
    <t>IT reviews network architecture and server requirements</t>
  </si>
  <si>
    <t>Executive sponsor signs off: Scope locked, no additions without Change Order</t>
  </si>
  <si>
    <t>36,37</t>
  </si>
  <si>
    <t>Hexagon provides deployment timeline and resource estimate</t>
  </si>
  <si>
    <t>38</t>
  </si>
  <si>
    <t>Site confirms budget availability for estimated scope</t>
  </si>
  <si>
    <t>39</t>
  </si>
  <si>
    <t>Document lessons learned: "If scope changes after sign-off, expect Change Orders"</t>
  </si>
  <si>
    <t>38,39</t>
  </si>
  <si>
    <t>1. DCS Data Collection (Honeywell EPKS/TPS)</t>
  </si>
  <si>
    <t>Import baseline DCS hierarchy (Stations, Entities, Displays, Control Modules)</t>
  </si>
  <si>
    <t>42,51</t>
  </si>
  <si>
    <t>Import alarm configuration (Priority, Deadband, Shelving)</t>
  </si>
  <si>
    <t>59</t>
  </si>
  <si>
    <t>Import I/O configuration (FTA/MTA channels, wiring terminations)</t>
  </si>
  <si>
    <t>Import control strategies (CM logic, function blocks)</t>
  </si>
  <si>
    <t>Import HMI displays (navigation, faceplate associations)</t>
  </si>
  <si>
    <t>Validate imported data matches live system (spot-check 10% of tags)</t>
  </si>
  <si>
    <t>59-63</t>
  </si>
  <si>
    <t>Document import statistics: Total tags, CM blocks, displays, alarms</t>
  </si>
  <si>
    <t>63</t>
  </si>
  <si>
    <t>2. PLC Data Collection (Allen-Bradley, Modicon)</t>
  </si>
  <si>
    <t>Import PLC programs (ladder logic, structured text)</t>
  </si>
  <si>
    <t>52</t>
  </si>
  <si>
    <t>Extract I/O configuration (local/remote racks, addressing)</t>
  </si>
  <si>
    <t>64</t>
  </si>
  <si>
    <t>Map PLC tags to DCS external references (if applicable)</t>
  </si>
  <si>
    <t>35,64</t>
  </si>
  <si>
    <t>Import PLC documentation (tag descriptions, rung comments)</t>
  </si>
  <si>
    <t>Validate imported data: Check tag counts, rung accuracy</t>
  </si>
  <si>
    <t>64,65</t>
  </si>
  <si>
    <t>3. Safety System Data Collection (Triconex, Safety Manager)</t>
  </si>
  <si>
    <t>Import Safety system configuration (logic, I/O)</t>
  </si>
  <si>
    <t>53</t>
  </si>
  <si>
    <t>Import Safety interlock matrix (cause-effect)</t>
  </si>
  <si>
    <t>66</t>
  </si>
  <si>
    <t>Map Safety system tags to DCS (if EPKS External Reference)</t>
  </si>
  <si>
    <t>36,66</t>
  </si>
  <si>
    <t>Validate critical safety logic accuracy (SIS-rated tags)</t>
  </si>
  <si>
    <t>66,67</t>
  </si>
  <si>
    <t>Document Safety system version and last MOC date</t>
  </si>
  <si>
    <t>67</t>
  </si>
  <si>
    <t>4. Reliability &amp; Electrical Systems</t>
  </si>
  <si>
    <t>Import Bently Nevada vibration monitoring configuration</t>
  </si>
  <si>
    <t>37</t>
  </si>
  <si>
    <t>Import relay/protection device configuration (SEL, GE, ABB)</t>
  </si>
  <si>
    <t>Import motor control center (MCC) lineup data</t>
  </si>
  <si>
    <t>Import electrical single-line diagram references</t>
  </si>
  <si>
    <t>Validate reliability data matches CMMS (SAP PM) asset register</t>
  </si>
  <si>
    <t>68,69</t>
  </si>
  <si>
    <t>5. Historian Data Collection (OSIPi, PHD)</t>
  </si>
  <si>
    <t>Import Historian tag list (process variables)</t>
  </si>
  <si>
    <t>54</t>
  </si>
  <si>
    <t>Map Historian tags to DCS/PLC source tags</t>
  </si>
  <si>
    <t>70</t>
  </si>
  <si>
    <t>Import Historian AF (Asset Framework) hierarchy if applicable</t>
  </si>
  <si>
    <t>Validate Historian data completeness (check critical KPIs exist)</t>
  </si>
  <si>
    <t>70,71</t>
  </si>
  <si>
    <t>6. Data Quality Checks</t>
  </si>
  <si>
    <t>Verify no duplicate assets (same tag in multiple systems)</t>
  </si>
  <si>
    <t>72</t>
  </si>
  <si>
    <t>Verify asset hierarchy compliance (Area/Unit/System matches FDS)</t>
  </si>
  <si>
    <t>30,72</t>
  </si>
  <si>
    <t>Verify external reference connections functional (live data updates)</t>
  </si>
  <si>
    <t>40,73</t>
  </si>
  <si>
    <t>Verify I/O addressing consistency (no conflicts)</t>
  </si>
  <si>
    <t>Resolve data quality issues before proceeding to validation phase</t>
  </si>
  <si>
    <t>72,73</t>
  </si>
  <si>
    <t>Document data collection completion metrics (total assets, tags, connections)</t>
  </si>
  <si>
    <t>73</t>
  </si>
  <si>
    <t>Archive all import source files (backups, exports) for future reference</t>
  </si>
  <si>
    <t>1. Site Acceptance Testing (SAT)</t>
  </si>
  <si>
    <t>Verify asset search functionality (find by tag, description, hierarchy)</t>
  </si>
  <si>
    <t>Verify signal tracing (follow tag from PLC→DCS→Historian)</t>
  </si>
  <si>
    <t>74</t>
  </si>
  <si>
    <t>Verify external reference data updates (live PLC tag values)</t>
  </si>
  <si>
    <t>40,74</t>
  </si>
  <si>
    <t>Verify alarm configuration accuracy (priority, setpoints)</t>
  </si>
  <si>
    <t>63,75</t>
  </si>
  <si>
    <t>Verify reports generation (asset inventory, change history)</t>
  </si>
  <si>
    <t>75</t>
  </si>
  <si>
    <t>Verify user permissions (read-only vs admin access)</t>
  </si>
  <si>
    <t>49,76</t>
  </si>
  <si>
    <t>Document SAT results: Pass/Fail with defect list</t>
  </si>
  <si>
    <t>76</t>
  </si>
  <si>
    <t>2. User Training</t>
  </si>
  <si>
    <t>Train Process Engineers: Asset search, signal tracing, alarm review</t>
  </si>
  <si>
    <t>Train Reliability Engineers: Equipment hierarchy, vibration monitoring integration</t>
  </si>
  <si>
    <t>Train Electrical Engineers: Relay/protection device configuration, single-line diagrams</t>
  </si>
  <si>
    <t>Train IT/Administrators: User management, backup/restore, troubleshooting</t>
  </si>
  <si>
    <t>Provide training materials: User guides, quick reference cards, video tutorials</t>
  </si>
  <si>
    <t>77</t>
  </si>
  <si>
    <t>Schedule refresher training session (4-6 weeks post go-live)</t>
  </si>
  <si>
    <t>3. Go-Live Preparation</t>
  </si>
  <si>
    <t>Finalize production database with all SAT defects resolved</t>
  </si>
  <si>
    <t>76,78</t>
  </si>
  <si>
    <t>Configure automated data refresh schedule (nightly imports)</t>
  </si>
  <si>
    <t>78</t>
  </si>
  <si>
    <t>Configure automated SQL backup schedule (daily full + hourly log)</t>
  </si>
  <si>
    <t>44,79</t>
  </si>
  <si>
    <t>Publish L5 web URL to enterprise users</t>
  </si>
  <si>
    <t>79</t>
  </si>
  <si>
    <t>Create Integrity support contact list (Hexagon PM, Site Lead, IT support)</t>
  </si>
  <si>
    <t>Announce go-live date and user access instructions (email, intranet)</t>
  </si>
  <si>
    <t>80</t>
  </si>
  <si>
    <t>Execute final pre-production backup</t>
  </si>
  <si>
    <t>4. Post-Go-Live Support</t>
  </si>
  <si>
    <t>Monitor data import jobs for failures (first 2 weeks critical)</t>
  </si>
  <si>
    <t>Address user-reported issues within 48 hours</t>
  </si>
  <si>
    <t>Track usage metrics (logins, searches, reports)</t>
  </si>
  <si>
    <t>81</t>
  </si>
  <si>
    <t>Schedule 2-week post-go-live checkpoint meeting</t>
  </si>
  <si>
    <t>Schedule 1-month post-go-live review (lessons learned)</t>
  </si>
  <si>
    <t>Transition support from Hexagon to Site/IT (knowledge transfer)</t>
  </si>
  <si>
    <t>Archive project documentation (OSW, imports, SAT, training materials)</t>
  </si>
  <si>
    <t>Update site runbook with Integrity troubleshooting procedures</t>
  </si>
  <si>
    <t>Close project and release Hexagon resources</t>
  </si>
  <si>
    <t>APO DEPLOYMENT - EXECUTIVE SUMMARY</t>
  </si>
  <si>
    <t xml:space="preserve"> • </t>
  </si>
  <si>
    <t>Dedicated station for ACM install and all scripts</t>
  </si>
  <si>
    <t>All EMDBs</t>
  </si>
  <si>
    <t>OL Hierarchy</t>
  </si>
  <si>
    <t>ACM Hierarchy</t>
  </si>
  <si>
    <t>Files</t>
  </si>
  <si>
    <t>DBs</t>
  </si>
  <si>
    <t>Exports of EMDB</t>
  </si>
  <si>
    <t>Export of ACM all consoles</t>
  </si>
  <si>
    <t>Tags in wrong assets</t>
  </si>
  <si>
    <t>Corruptions</t>
  </si>
  <si>
    <t>ACM 210.12.7 or higher (SCADA UTT or 321.12.8)</t>
  </si>
  <si>
    <t>Dedicated station for ACM TEST server</t>
  </si>
  <si>
    <t>Process to Copy production to Test server (with NO schedules)</t>
  </si>
  <si>
    <t>HAMR Hierarchy (likely cache regen required)</t>
  </si>
  <si>
    <t>No Unassigned Process Asset (with alarms)</t>
  </si>
  <si>
    <t>Review UnManaged Tags (list from M&amp;R)</t>
  </si>
  <si>
    <t xml:space="preserve">Quality: Active Alarms </t>
  </si>
  <si>
    <t>Quality: Suppressed Tags</t>
  </si>
  <si>
    <t>Consider M&amp;R OP name: Area - Unit (helps with OL hierarchy)</t>
  </si>
  <si>
    <t>CMs - delete if not used</t>
  </si>
  <si>
    <t>Corruptions (SCADA, notes)</t>
  </si>
  <si>
    <t>All hierarchies compatible</t>
  </si>
  <si>
    <t>Inconsistent Enforcement Actions (not matching defaults)</t>
  </si>
  <si>
    <t>Reconfig errors</t>
  </si>
  <si>
    <t>Active Sync generally should not add alarms\shelved (only close them)</t>
  </si>
  <si>
    <t>Suppressed Sync should mostly unsuppress</t>
  </si>
  <si>
    <t>No Ghost Tags</t>
  </si>
  <si>
    <t>No Tags to merge</t>
  </si>
  <si>
    <t>M&amp;R 210 or higher, HAMR230 recommended</t>
  </si>
  <si>
    <t>Run DSPPrime for Tag Descriptio mismatches</t>
  </si>
  <si>
    <t>Schedule all tasks (Add\Delete + Reconfig can be in preview)</t>
  </si>
  <si>
    <t>[Add\Delete] - nonEmpty add + delete list</t>
  </si>
  <si>
    <t>[Update Sec Param] check in M&amp;R is there is Tag Descrption mismatch</t>
  </si>
  <si>
    <t>[Reconfig]: The file should be empty</t>
  </si>
  <si>
    <t>[Add\Delete] - update MapFile.csv</t>
  </si>
  <si>
    <t>[Add\Delete] - update ExclusionList.txt</t>
  </si>
  <si>
    <t>Rules updated to prevent excessive Tags (when tags should be merged)</t>
  </si>
  <si>
    <t>Quality: Consider Alternative Active and Suppressed Sync</t>
  </si>
  <si>
    <t>Assumes cleanup done</t>
  </si>
  <si>
    <t>Purge to keep ~6 months</t>
  </si>
  <si>
    <t>Adjust purge (12 months recommended)</t>
  </si>
  <si>
    <t>Monitor Report generation (Inactive report SLC has seen seeing IOL Overrun errors)</t>
  </si>
  <si>
    <t>Standard Sync no quality and mostly not configured right</t>
  </si>
  <si>
    <t>For unassigned assets and DSA events, consider rules adjustments</t>
  </si>
  <si>
    <t>Cosider Alarm Class implementation (info entered in ACM)</t>
  </si>
  <si>
    <t>Considering you have test system, the best may be to reload</t>
  </si>
  <si>
    <t>Auto process to avoid accidental enforce and OPC overload</t>
  </si>
  <si>
    <t>Emails enabled</t>
  </si>
  <si>
    <t>SQL jobs created</t>
  </si>
  <si>
    <t>Accounts\permissions</t>
  </si>
  <si>
    <t>ACM Test Server operational</t>
  </si>
  <si>
    <t>Hierarchies optimal -  EMDB \ ACM</t>
  </si>
  <si>
    <t>Reload may be the best to clean (reload on test servers) coordinate with production</t>
  </si>
  <si>
    <t>For sites with no enforcement, prepare import file with only notes</t>
  </si>
  <si>
    <t>Optionally can switch to ReportOnly (if no life enforcements)</t>
  </si>
  <si>
    <t>MarathonCustom DB created</t>
  </si>
  <si>
    <t>L4 server</t>
  </si>
  <si>
    <t>Install account access to the server and DB</t>
  </si>
  <si>
    <t>Mitigate if not ready</t>
  </si>
  <si>
    <t>Disable Enforcements</t>
  </si>
  <si>
    <t>Backup DBs and Files</t>
  </si>
  <si>
    <t>Release all consoles</t>
  </si>
  <si>
    <t>ACM DB cleanup complete</t>
  </si>
  <si>
    <t>M&amp;R cleanup complete</t>
  </si>
  <si>
    <t>Hierarchies optimal -  M&amp;R</t>
  </si>
  <si>
    <t>Folders location</t>
  </si>
  <si>
    <t>Schema name</t>
  </si>
  <si>
    <t>Service name</t>
  </si>
  <si>
    <t>Site name LARC, LARW, ANR etc</t>
  </si>
  <si>
    <t>Change enforcer name in DB (not in UI as it will remove from production)</t>
  </si>
  <si>
    <t>Delete all Deleted Tags</t>
  </si>
  <si>
    <t>Export all consoles and all versions</t>
  </si>
  <si>
    <t>Delete BMA points… if &lt; APO3.1</t>
  </si>
  <si>
    <t>Delete Offline or EHAS (unless you need them)</t>
  </si>
  <si>
    <t>Run Tag Count script</t>
  </si>
  <si>
    <t xml:space="preserve">Move clean ACM DB to Production </t>
  </si>
  <si>
    <t>WARNING: Old import files not valid any more</t>
  </si>
  <si>
    <r>
      <t xml:space="preserve">ACM Health Checks. </t>
    </r>
    <r>
      <rPr>
        <b/>
        <sz val="11"/>
        <color theme="1"/>
        <rFont val="Calibri"/>
        <family val="2"/>
        <scheme val="minor"/>
      </rPr>
      <t>Repeat checks (same health check scripts) from cleanup section.</t>
    </r>
  </si>
  <si>
    <t>Vendor instructions do not ensure deterministic\reliable restore of multiple databases and files</t>
  </si>
  <si>
    <t>Unassigned assets over DSA need rules adjustmenst to ensure quality</t>
  </si>
  <si>
    <t>Unmananaged tags need to be added to ACM</t>
  </si>
  <si>
    <t>Consistent Backup across all servers is critical</t>
  </si>
  <si>
    <t>Test Backups</t>
  </si>
  <si>
    <t>There are common recommendations (e.g. auto assigne tag to parent asset)</t>
  </si>
  <si>
    <t>These files are not valid for APO any more</t>
  </si>
  <si>
    <t>M&amp;R count tags + 15% if not significant tag count growth expected</t>
  </si>
  <si>
    <t>ACM count tags + 15% if not significant tag count growth expected</t>
  </si>
  <si>
    <t>At the end… freeze and delta migration (logs and settings)</t>
  </si>
  <si>
    <t>These incomplete collections are loaded to APO and wrong recommendations are issued</t>
  </si>
  <si>
    <t>Based on APO Test System evaluation, APO1.0 deployment, and the quality of ACM and HAMR reviews at several sites</t>
  </si>
  <si>
    <t>#</t>
  </si>
  <si>
    <t>Stakeholder Engagement &amp; Project Setup</t>
  </si>
  <si>
    <t>Minimum Releases Upgrade and additional ACM server</t>
  </si>
  <si>
    <t>Synchronized Backups to ensure deterministic restore</t>
  </si>
  <si>
    <t>Ensure Backups are running and tested</t>
  </si>
  <si>
    <t>M&amp;R Sync and rules adjustments over time</t>
  </si>
  <si>
    <t>M&amp;R DB  Health Check \ Cleanup</t>
  </si>
  <si>
    <t>ACM review over time</t>
  </si>
  <si>
    <t>Perception APO and Reporting have to be deployed together</t>
  </si>
  <si>
    <t>Hierarchies Discovery Comparisons and adjustments</t>
  </si>
  <si>
    <t>ACM DB Health Check \Cleanup</t>
  </si>
  <si>
    <t>ACM review \ adjust site \Control System\Console settings</t>
  </si>
  <si>
    <t>Any outstanding import files… import now</t>
  </si>
  <si>
    <t>ACM TagSync</t>
  </si>
  <si>
    <t>LACK OF AUTO-MONITORING - issues not noticed for months or years</t>
  </si>
  <si>
    <t>LICENSE MISCALCULATION (cost, delays if need higher license)</t>
  </si>
  <si>
    <t xml:space="preserve"> Hierarchy cleanup</t>
  </si>
  <si>
    <t>Databases cleanup (cleanup and testing can take months)</t>
  </si>
  <si>
    <t>Some may be not directly noticable, but affect quality (e.g. MnR Sync)</t>
  </si>
  <si>
    <t xml:space="preserve"> Garyville, wrong archive were restored (with high EventIDs) and collection stoped for months. Hourly Active Sync did not make the failure obvious.</t>
  </si>
  <si>
    <t>Anacortes, collection stalled for 10 months, not noticed due to frequent Active Sync (every 4 hours)</t>
  </si>
  <si>
    <t>LAR: collection stalled,  notification allowed to detect and solve timely</t>
  </si>
  <si>
    <t>APO 1.1 lack of management tools made LAR Wilmington not operational for months</t>
  </si>
  <si>
    <t>Apears you cannot delete (deleted) tags without buying licencese to re-enable delete functionality</t>
  </si>
  <si>
    <t xml:space="preserve"> </t>
  </si>
  <si>
    <t>OL Solution (replication may be needed if L3 install)</t>
  </si>
  <si>
    <t>Custom effective backups</t>
  </si>
  <si>
    <t>Notifications</t>
  </si>
  <si>
    <t>You know before users notice</t>
  </si>
  <si>
    <t>Recomended settings ("custom" as not default)</t>
  </si>
  <si>
    <t>HAMR Rules \ Processing</t>
  </si>
  <si>
    <t>ACM Site Settings</t>
  </si>
  <si>
    <t>ACM Control System Settings</t>
  </si>
  <si>
    <t>ACM Console Settings</t>
  </si>
  <si>
    <t>ACM Priority Matrix</t>
  </si>
  <si>
    <t>License needs evaluation</t>
  </si>
  <si>
    <t>No effective understanding of functionalities and possible adjustments</t>
  </si>
  <si>
    <t>No deep Health Checks (e.g. channel is green assumes HAMR is working)</t>
  </si>
  <si>
    <t>May need to go back to ACM to clean, then redo migration</t>
  </si>
  <si>
    <t>Data loss</t>
  </si>
  <si>
    <t>Data corruptions</t>
  </si>
  <si>
    <t>IT\OT</t>
  </si>
  <si>
    <t>Vendor</t>
  </si>
  <si>
    <t>Even proper Validation ensures only "Software works" but not "software works well and configuration is optimized"</t>
  </si>
  <si>
    <t>Vendor does not provide backup procedure that would ensure reliable restore</t>
  </si>
  <si>
    <t>No Tag Sync</t>
  </si>
  <si>
    <t>No BMA</t>
  </si>
  <si>
    <t>Order L4 server</t>
  </si>
  <si>
    <t>L4 SQL server accounts and permissions</t>
  </si>
  <si>
    <t>Custom Solutions readiness</t>
  </si>
  <si>
    <t>Review and mitigate known ACM-APO gaps</t>
  </si>
  <si>
    <t>LACK OF EFFECTIVE BACKUP PROCEDURES</t>
  </si>
  <si>
    <t>MISUNDERSTANDING OF DEPENDENCIES (delays, costs)</t>
  </si>
  <si>
    <t>NO CLEANUP (delays, ineffective outcome)</t>
  </si>
  <si>
    <t>Onsite Scoping Workbook (OSW) Data Entry</t>
  </si>
  <si>
    <t>External Reference Configuration</t>
  </si>
  <si>
    <t>OSW Validation &amp; Sign-Off</t>
  </si>
  <si>
    <t>Site Acceptance Testing (SAT)</t>
  </si>
  <si>
    <t>User Training</t>
  </si>
  <si>
    <t>Go-Live Preparation</t>
  </si>
  <si>
    <t>Post-Go-Live Support</t>
  </si>
  <si>
    <t>Backups</t>
  </si>
  <si>
    <t>ACM DB preparation</t>
  </si>
  <si>
    <t>APO Install selections \ standards</t>
  </si>
  <si>
    <t>Configuration standarts</t>
  </si>
  <si>
    <t>Migration standards</t>
  </si>
  <si>
    <t>Order of installation</t>
  </si>
  <si>
    <t>Testing (scripts)</t>
  </si>
  <si>
    <t>Tags Count</t>
  </si>
  <si>
    <t>Enforcements and errors</t>
  </si>
  <si>
    <t>Add Tag and Propose \ Release</t>
  </si>
  <si>
    <t xml:space="preserve">Enforcements </t>
  </si>
  <si>
    <t>M&amp;R integration test</t>
  </si>
  <si>
    <t>Custom</t>
  </si>
  <si>
    <t xml:space="preserve">Marathon Standards </t>
  </si>
  <si>
    <t>HAMR KPI Thresholds</t>
  </si>
  <si>
    <t>M&amp;R DB preparation</t>
  </si>
  <si>
    <t>Switch</t>
  </si>
  <si>
    <t>Cleanup</t>
  </si>
  <si>
    <t>Host files update</t>
  </si>
  <si>
    <t>un-DSA EAS\ACM server</t>
  </si>
  <si>
    <t>Dynamic mode management</t>
  </si>
  <si>
    <t>Custom solutions</t>
  </si>
  <si>
    <t>ACM using change history log</t>
  </si>
  <si>
    <t>ACM other logs</t>
  </si>
  <si>
    <t>What to compare</t>
  </si>
  <si>
    <t>What to test</t>
  </si>
  <si>
    <t>Hierarchy choice during DB migration</t>
  </si>
  <si>
    <t>Need to see the vendor FDS</t>
  </si>
  <si>
    <t>Need for short, ONE PAGE documentation with major info (details separately unless unusual)</t>
  </si>
  <si>
    <t>HowTo temporary switch, then undo (if needed)</t>
  </si>
  <si>
    <t>Notifications??</t>
  </si>
  <si>
    <t>Need for functionality\data Health Checks (vs. IT conclusion "Software runs")</t>
  </si>
  <si>
    <t>Lack of good documentation post install</t>
  </si>
  <si>
    <t>Testing scope</t>
  </si>
  <si>
    <t>UPGRADES DAMAGE FUNCTIONALITY (not immediately noticable)</t>
  </si>
  <si>
    <t>Too many licenses bougth, cannot return</t>
  </si>
  <si>
    <t>Experion Servers: Alarm Help</t>
  </si>
  <si>
    <t>Uninstall Remaining ACM clients</t>
  </si>
  <si>
    <t>No Enforcements or TagSyncs overlapping</t>
  </si>
  <si>
    <t>Disable enforcements \ check Windows tasks</t>
  </si>
  <si>
    <t>Switch TagSync \ check Windows tasks</t>
  </si>
  <si>
    <t>Freeze</t>
  </si>
  <si>
    <t>Freeze and Delta import</t>
  </si>
  <si>
    <t>No import \ export</t>
  </si>
  <si>
    <t>Marathon Custom solutions</t>
  </si>
  <si>
    <t>Reports Scheduling for Corporate Marathon</t>
  </si>
  <si>
    <t>Lack of deployment standards will make custom Marathon functionality difficult to standarize</t>
  </si>
  <si>
    <t>Anacortes - cleanup and license reduction by 35%</t>
  </si>
  <si>
    <t>Need to organize and clean data in ACM to minimize the risks</t>
  </si>
  <si>
    <t>APO focus was and is rationalization, alarm management \ maintenance functionality clearly lower priority for Honeywell</t>
  </si>
  <si>
    <t>Cleanup M&amp;R</t>
  </si>
  <si>
    <t>Disable L4 ACM Web</t>
  </si>
  <si>
    <t>Disable replication (if not needed)</t>
  </si>
  <si>
    <t>License count shown during migration not reliable (and allows to proceed if insufficient)</t>
  </si>
  <si>
    <t>INEXPERIENCED VENDOR RESOURCES (no senior resources)</t>
  </si>
  <si>
    <t>Test not enough (checks only "Software installed and basics works")… Quality Health Check needed</t>
  </si>
  <si>
    <t>APO STILL IMMATURE FOR MAJOR ADJUSTMENTS</t>
  </si>
  <si>
    <t>No focus on quality or usability</t>
  </si>
  <si>
    <t>Optimal configuration does not get sufficient attention</t>
  </si>
  <si>
    <t>While the criticality and scripts documented in KB, new engineers are not implementing</t>
  </si>
  <si>
    <t>Still stuck enforcement? Or fixed?</t>
  </si>
  <si>
    <t>ACM Get Enforcement Log.sql</t>
  </si>
  <si>
    <t>ACM Count Tags and its versions.sql</t>
  </si>
  <si>
    <t>Advanced (rationalization expert for consulting on optimal settings)</t>
  </si>
  <si>
    <t>Capture all suggestions \ concerns</t>
  </si>
  <si>
    <t xml:space="preserve">Should </t>
  </si>
  <si>
    <t>Prerequisites (scripts)</t>
  </si>
  <si>
    <t>Major Gaps bridge - My need custom solutions.</t>
  </si>
  <si>
    <t>No EMDB import \ export (and easy manipulation) - Only Export to Excel Rationalization Tool</t>
  </si>
  <si>
    <t>Corporate</t>
  </si>
  <si>
    <t>Custom solutions not available (yet)</t>
  </si>
  <si>
    <t>RISK OF ACCITENTAL ENFORCEMENTS OR OPC OVERLOAD</t>
  </si>
  <si>
    <r>
      <t xml:space="preserve">⚠️ TOP REASONS FOR DEPLOYMENT DELAYS &amp; COST OVERRUNS &amp; </t>
    </r>
    <r>
      <rPr>
        <b/>
        <sz val="11"/>
        <color rgb="FFFF0000"/>
        <rFont val="Calibri"/>
        <family val="2"/>
      </rPr>
      <t>BAD OUTCOMES</t>
    </r>
  </si>
  <si>
    <t>ACM DB prevent accidental Enforce</t>
  </si>
  <si>
    <t>ACM DB prevent OPC overload</t>
  </si>
  <si>
    <t>Deployment timeline and resource estimate</t>
  </si>
  <si>
    <t>FOR</t>
  </si>
  <si>
    <t>KEEP ACM SERVER (JUST IN CASE)</t>
  </si>
  <si>
    <t>PROJECTS ARE PLANED AND DECLARED COMPLETE MOSTLY FROM IT PERSPECTIVE</t>
  </si>
  <si>
    <t>Delays in providing functional enhancements</t>
  </si>
  <si>
    <t>Critical to have hierarchies compatible</t>
  </si>
  <si>
    <t>Not able to realize full APO rationalization benefits withouth well designed hierarchies and quality data</t>
  </si>
  <si>
    <t>xxx</t>
  </si>
  <si>
    <t>How to export\import EMDBs</t>
  </si>
  <si>
    <t xml:space="preserve"> SRs to consider</t>
  </si>
  <si>
    <t>Migration - Carson hierarchy migration fails</t>
  </si>
  <si>
    <t>Over the license… how to delete tags</t>
  </si>
  <si>
    <t>Import \ Export missed</t>
  </si>
  <si>
    <t>Backup \ Restore how to?</t>
  </si>
  <si>
    <t>How to re-release all tags?</t>
  </si>
  <si>
    <t>Where schedules are stored?</t>
  </si>
  <si>
    <t>SCADA SRs</t>
  </si>
  <si>
    <t>Power off but… keep the server</t>
  </si>
  <si>
    <t>Alarm Help - Alarm Summary</t>
  </si>
  <si>
    <t>Alarm Help - Web view</t>
  </si>
  <si>
    <t>Refresher M&amp;R</t>
  </si>
  <si>
    <t>Refresher ACM-APO "same functionality" + what was lost</t>
  </si>
  <si>
    <t>Basic new workflow</t>
  </si>
  <si>
    <t>Suggestions</t>
  </si>
  <si>
    <t>Questions</t>
  </si>
  <si>
    <t>Do we have edge in stations? IE not working any more</t>
  </si>
  <si>
    <t>Stuck enforcement (?), appears got stuck on Test system</t>
  </si>
  <si>
    <t>Replication can be damaged and work inconsistently or not allow to upgrade standard way</t>
  </si>
  <si>
    <t>Custom functionality not well standarized for full Marathon (example OL)</t>
  </si>
  <si>
    <t>With standards… documentation non-critical</t>
  </si>
  <si>
    <t>Neeed for standarized basic tests\expectation (and higher level of data quality validation)</t>
  </si>
  <si>
    <t>Adjust expectations and mitigate knowledge gaps, it will take time for Honeywell to train new engineers</t>
  </si>
  <si>
    <t>Still analyzing</t>
  </si>
  <si>
    <t>Lack of control over L4 should not be the basis for the decisions to install APO on L4 (e.g. uncoordinated patching \ reboots)</t>
  </si>
  <si>
    <t>L4 Server Delays and restrictions (SQL Azure restrictions)</t>
  </si>
  <si>
    <t>Should be top priority to avoid this during the process</t>
  </si>
  <si>
    <t>In fact Important to have Reporting working well (HAMR230 recommended) before APO deployment</t>
  </si>
  <si>
    <t>Difficult to adjust hierarchies later (and clean data) considering APO is "rationalization tool where enforcements were recently added but no full ACM functionality is avaiable yet.</t>
  </si>
  <si>
    <t>Current SRs</t>
  </si>
  <si>
    <t>Do not install without cleanup and hierarchies adjustments first</t>
  </si>
  <si>
    <t>HAMR230 first  or APO+HAMR</t>
  </si>
  <si>
    <t>General</t>
  </si>
  <si>
    <t>Folders with scripts (e.g. Backup) copied to new servers</t>
  </si>
  <si>
    <t>none if cleanup done (just re-run Health Check scripts)</t>
  </si>
  <si>
    <t>RDM - do not use 1, recommended e.g. OPC3, OPC4</t>
  </si>
  <si>
    <t>Ensure only 2 versions of variables</t>
  </si>
  <si>
    <t>Re-run and Disable TagSyncs</t>
  </si>
  <si>
    <t>Health check 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</si>
</sst>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rgb="FFFFFFFF"/>
      <name val="Calibri"/>
    </font>
    <font>
      <b/>
      <sz val="12"/>
      <color rgb="FF1F4E78"/>
      <name val="Calibri"/>
    </font>
    <font>
      <sz val="10"/>
      <name val="Calibri"/>
    </font>
    <font>
      <b/>
      <sz val="11"/>
      <color rgb="FF1F4E78"/>
      <name val="Calibri"/>
    </font>
    <font>
      <b/>
      <sz val="10"/>
      <name val="Calibri"/>
    </font>
    <font>
      <i/>
      <sz val="10"/>
      <color rgb="FFC00000"/>
      <name val="Calibri"/>
    </font>
    <font>
      <b/>
      <sz val="10"/>
      <color rgb="FFC00000"/>
      <name val="Calibri"/>
    </font>
    <font>
      <b/>
      <sz val="10"/>
      <color rgb="FF00B050"/>
      <name val="Calibri"/>
    </font>
    <font>
      <i/>
      <sz val="10"/>
      <name val="Calibri"/>
    </font>
    <font>
      <i/>
      <sz val="9"/>
      <color rgb="FF7F7F7F"/>
      <name val="Calibri"/>
    </font>
    <font>
      <b/>
      <sz val="11"/>
      <color rgb="FFFFFFFF"/>
      <name val="Calibri"/>
    </font>
    <font>
      <b/>
      <sz val="11"/>
      <color theme="0"/>
      <name val="Calibri"/>
      <family val="2"/>
      <scheme val="minor"/>
    </font>
    <font>
      <b/>
      <sz val="11"/>
      <color theme="1"/>
      <name val="Calibri"/>
      <family val="2"/>
      <scheme val="minor"/>
    </font>
    <font>
      <sz val="11"/>
      <color theme="0"/>
      <name val="Calibri"/>
      <family val="2"/>
      <scheme val="minor"/>
    </font>
    <font>
      <sz val="10"/>
      <name val="Calibri"/>
      <family val="2"/>
    </font>
    <font>
      <b/>
      <sz val="10"/>
      <name val="Calibri"/>
      <family val="2"/>
    </font>
    <font>
      <b/>
      <sz val="11"/>
      <color rgb="FF1F4E78"/>
      <name val="Calibri"/>
      <family val="2"/>
    </font>
    <font>
      <sz val="11"/>
      <color rgb="FF1F4E78"/>
      <name val="Calibri"/>
      <family val="2"/>
      <scheme val="minor"/>
    </font>
    <font>
      <b/>
      <sz val="11"/>
      <color rgb="FF1F4E78"/>
      <name val="Calibri"/>
      <family val="2"/>
      <scheme val="minor"/>
    </font>
    <font>
      <b/>
      <sz val="11"/>
      <color rgb="FFFF0000"/>
      <name val="Calibri"/>
      <family val="2"/>
    </font>
    <font>
      <i/>
      <sz val="10"/>
      <color rgb="FFC00000"/>
      <name val="Calibri"/>
      <family val="2"/>
    </font>
  </fonts>
  <fills count="9">
    <fill>
      <patternFill patternType="none"/>
    </fill>
    <fill>
      <patternFill patternType="gray125"/>
    </fill>
    <fill>
      <patternFill patternType="solid">
        <fgColor rgb="FF1F4E78"/>
        <bgColor rgb="FF1F4E78"/>
      </patternFill>
    </fill>
    <fill>
      <patternFill patternType="solid">
        <fgColor rgb="FFE7E6E6"/>
        <bgColor rgb="FFE7E6E6"/>
      </patternFill>
    </fill>
    <fill>
      <patternFill patternType="solid">
        <fgColor rgb="FFFFF2CC"/>
        <bgColor rgb="FFFFF2CC"/>
      </patternFill>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theme="0" tint="-0.14999847407452621"/>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56">
    <xf numFmtId="0" fontId="0" fillId="0" borderId="0" xfId="0"/>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3" borderId="0" xfId="0" applyFont="1" applyFill="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4" borderId="0" xfId="0" applyFont="1" applyFill="1" applyAlignment="1">
      <alignment horizontal="left" vertical="center" wrapText="1"/>
    </xf>
    <xf numFmtId="0" fontId="10" fillId="0" borderId="0" xfId="0" applyFont="1" applyAlignment="1">
      <alignment horizontal="right" vertical="center" wrapText="1"/>
    </xf>
    <xf numFmtId="0" fontId="10" fillId="0" borderId="0" xfId="0" applyFont="1" applyAlignment="1">
      <alignment horizontal="center" vertical="center" wrapText="1"/>
    </xf>
    <xf numFmtId="0" fontId="1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4" fillId="3" borderId="1" xfId="0" applyFont="1" applyFill="1" applyBorder="1" applyAlignment="1">
      <alignment horizontal="left" vertical="center"/>
    </xf>
    <xf numFmtId="0" fontId="0" fillId="0" borderId="0" xfId="0"/>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0" fillId="0" borderId="0" xfId="0" applyBorder="1" applyAlignment="1">
      <alignment vertical="top" wrapText="1"/>
    </xf>
    <xf numFmtId="0" fontId="0" fillId="5" borderId="0" xfId="0" applyFill="1" applyBorder="1" applyAlignment="1">
      <alignment vertical="top" wrapText="1"/>
    </xf>
    <xf numFmtId="0" fontId="4" fillId="3" borderId="0" xfId="0" applyFont="1" applyFill="1" applyBorder="1" applyAlignment="1">
      <alignment horizontal="left" vertical="center"/>
    </xf>
    <xf numFmtId="0" fontId="4" fillId="3" borderId="5" xfId="0" applyFont="1" applyFill="1" applyBorder="1" applyAlignment="1">
      <alignment horizontal="left" vertical="center"/>
    </xf>
    <xf numFmtId="0" fontId="0" fillId="0" borderId="1" xfId="0" applyBorder="1" applyAlignment="1">
      <alignment vertical="top"/>
    </xf>
    <xf numFmtId="0" fontId="15" fillId="0" borderId="0" xfId="0" applyFont="1" applyAlignment="1">
      <alignment horizontal="left" vertical="center" wrapText="1"/>
    </xf>
    <xf numFmtId="0" fontId="17" fillId="3" borderId="4" xfId="0" applyFont="1" applyFill="1" applyBorder="1" applyAlignment="1">
      <alignment horizontal="left" vertical="center"/>
    </xf>
    <xf numFmtId="0" fontId="17" fillId="3" borderId="1" xfId="0" applyFont="1" applyFill="1" applyBorder="1" applyAlignment="1">
      <alignment horizontal="left" vertical="center"/>
    </xf>
    <xf numFmtId="0" fontId="0" fillId="0" borderId="6" xfId="0" applyBorder="1" applyAlignment="1">
      <alignment horizontal="center" vertical="center"/>
    </xf>
    <xf numFmtId="0" fontId="14" fillId="0" borderId="5" xfId="0" applyFont="1" applyBorder="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6" fillId="0" borderId="0" xfId="0" applyFont="1" applyBorder="1" applyAlignment="1">
      <alignment horizontal="left" vertical="center"/>
    </xf>
    <xf numFmtId="0" fontId="16" fillId="0" borderId="0" xfId="0" applyFont="1" applyBorder="1" applyAlignment="1">
      <alignment horizontal="center" vertical="center"/>
    </xf>
    <xf numFmtId="0" fontId="17" fillId="3" borderId="0" xfId="0" applyFont="1" applyFill="1" applyAlignment="1">
      <alignment horizontal="left" vertical="center" wrapText="1"/>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8" fillId="8" borderId="1" xfId="0" applyFont="1" applyFill="1" applyBorder="1" applyAlignment="1">
      <alignment horizontal="center"/>
    </xf>
    <xf numFmtId="0" fontId="19" fillId="8" borderId="1" xfId="0" applyFont="1" applyFill="1" applyBorder="1" applyAlignment="1">
      <alignment horizontal="center"/>
    </xf>
    <xf numFmtId="0" fontId="12" fillId="0" borderId="5" xfId="0" applyFont="1" applyBorder="1" applyAlignment="1">
      <alignment horizontal="center" vertical="center"/>
    </xf>
    <xf numFmtId="0" fontId="17" fillId="3" borderId="6" xfId="0" applyFont="1" applyFill="1" applyBorder="1" applyAlignment="1">
      <alignment horizontal="left" vertical="center"/>
    </xf>
    <xf numFmtId="0" fontId="17" fillId="3" borderId="7" xfId="0" applyFont="1" applyFill="1" applyBorder="1" applyAlignment="1">
      <alignment horizontal="left" vertical="center"/>
    </xf>
    <xf numFmtId="0" fontId="17" fillId="3" borderId="8" xfId="0" applyFont="1" applyFill="1" applyBorder="1" applyAlignment="1">
      <alignment horizontal="left" vertical="center"/>
    </xf>
    <xf numFmtId="0" fontId="17" fillId="3" borderId="9" xfId="0" applyFont="1" applyFill="1" applyBorder="1" applyAlignment="1">
      <alignment horizontal="left" vertical="center"/>
    </xf>
    <xf numFmtId="0" fontId="0" fillId="6" borderId="0" xfId="0" applyFill="1" applyBorder="1" applyAlignment="1">
      <alignment vertical="top" wrapText="1"/>
    </xf>
    <xf numFmtId="0" fontId="17" fillId="3" borderId="7" xfId="0" applyFont="1" applyFill="1" applyBorder="1" applyAlignment="1">
      <alignment horizontal="left"/>
    </xf>
    <xf numFmtId="0" fontId="17" fillId="3" borderId="8" xfId="0" applyFont="1" applyFill="1" applyBorder="1" applyAlignment="1">
      <alignment horizontal="left"/>
    </xf>
    <xf numFmtId="0" fontId="17" fillId="3" borderId="9" xfId="0" applyFont="1" applyFill="1" applyBorder="1" applyAlignment="1">
      <alignment horizontal="left"/>
    </xf>
    <xf numFmtId="0" fontId="13" fillId="0" borderId="1" xfId="0" applyFont="1" applyBorder="1"/>
    <xf numFmtId="0" fontId="21" fillId="0" borderId="0" xfId="0" applyFont="1" applyAlignment="1">
      <alignment horizontal="left" vertical="center" wrapText="1"/>
    </xf>
    <xf numFmtId="0" fontId="4" fillId="3" borderId="6" xfId="0" applyFont="1" applyFill="1" applyBorder="1" applyAlignment="1">
      <alignment horizontal="left" vertical="center"/>
    </xf>
    <xf numFmtId="0" fontId="17" fillId="3" borderId="2" xfId="0" applyFont="1" applyFill="1" applyBorder="1" applyAlignment="1">
      <alignment horizontal="left"/>
    </xf>
    <xf numFmtId="0" fontId="17" fillId="3" borderId="3" xfId="0" applyFont="1" applyFill="1" applyBorder="1" applyAlignment="1">
      <alignment horizontal="left"/>
    </xf>
    <xf numFmtId="0" fontId="17" fillId="3" borderId="6" xfId="0" applyFont="1" applyFill="1" applyBorder="1" applyAlignment="1">
      <alignment horizontal="left"/>
    </xf>
  </cellXfs>
  <cellStyles count="1">
    <cellStyle name="Normal" xfId="0" builtinId="0"/>
  </cellStyles>
  <dxfs count="169">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auto="1"/>
      </font>
      <fill>
        <patternFill patternType="none">
          <bgColor auto="1"/>
        </patternFill>
      </fill>
    </dxf>
    <dxf>
      <font>
        <color auto="1"/>
      </font>
      <fill>
        <patternFill>
          <bgColor rgb="FFFFC000"/>
        </patternFill>
      </fill>
    </dxf>
    <dxf>
      <font>
        <color auto="1"/>
      </font>
      <fill>
        <patternFill>
          <bgColor rgb="FF00B0F0"/>
        </patternFill>
      </fill>
    </dxf>
    <dxf>
      <font>
        <color auto="1"/>
      </font>
      <fill>
        <patternFill>
          <bgColor rgb="FF92D050"/>
        </patternFill>
      </fill>
    </dxf>
    <dxf>
      <font>
        <color auto="1"/>
      </font>
      <fill>
        <patternFill>
          <bgColor rgb="FFFF7C8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s>
  <tableStyles count="0" defaultTableStyle="TableStyleMedium9" defaultPivotStyle="PivotStyleLight16"/>
  <colors>
    <mruColors>
      <color rgb="FFFF7C80"/>
      <color rgb="FF1F4E7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6"/>
  <sheetViews>
    <sheetView topLeftCell="A9" workbookViewId="0">
      <selection activeCell="A25" sqref="A25"/>
    </sheetView>
  </sheetViews>
  <sheetFormatPr defaultRowHeight="15" x14ac:dyDescent="0.25"/>
  <cols>
    <col min="1" max="1" width="120" customWidth="1"/>
  </cols>
  <sheetData>
    <row r="1" spans="1:1" ht="18" customHeight="1" x14ac:dyDescent="0.25">
      <c r="A1" s="1" t="s">
        <v>0</v>
      </c>
    </row>
    <row r="2" spans="1:1" ht="18" customHeight="1" x14ac:dyDescent="0.25">
      <c r="A2" s="2" t="s">
        <v>1</v>
      </c>
    </row>
    <row r="3" spans="1:1" ht="18" customHeight="1" x14ac:dyDescent="0.25">
      <c r="A3" s="3"/>
    </row>
    <row r="4" spans="1:1" ht="30" customHeight="1" x14ac:dyDescent="0.25">
      <c r="A4" s="3" t="s">
        <v>2</v>
      </c>
    </row>
    <row r="5" spans="1:1" ht="18" customHeight="1" x14ac:dyDescent="0.25">
      <c r="A5" s="3"/>
    </row>
    <row r="6" spans="1:1" ht="18" customHeight="1" x14ac:dyDescent="0.25">
      <c r="A6" s="4" t="s">
        <v>3</v>
      </c>
    </row>
    <row r="7" spans="1:1" ht="18" customHeight="1" x14ac:dyDescent="0.25">
      <c r="A7" s="3" t="s">
        <v>4</v>
      </c>
    </row>
    <row r="8" spans="1:1" ht="18" customHeight="1" x14ac:dyDescent="0.25">
      <c r="A8" s="3" t="s">
        <v>5</v>
      </c>
    </row>
    <row r="9" spans="1:1" ht="18" customHeight="1" x14ac:dyDescent="0.25">
      <c r="A9" s="3" t="s">
        <v>6</v>
      </c>
    </row>
    <row r="10" spans="1:1" ht="18" customHeight="1" x14ac:dyDescent="0.25">
      <c r="A10" s="3" t="s">
        <v>7</v>
      </c>
    </row>
    <row r="11" spans="1:1" ht="18" customHeight="1" x14ac:dyDescent="0.25">
      <c r="A11" s="3"/>
    </row>
    <row r="12" spans="1:1" ht="18" customHeight="1" x14ac:dyDescent="0.25">
      <c r="A12" s="4" t="s">
        <v>8</v>
      </c>
    </row>
    <row r="13" spans="1:1" ht="18" customHeight="1" x14ac:dyDescent="0.25">
      <c r="A13" s="3"/>
    </row>
    <row r="14" spans="1:1" ht="18" customHeight="1" x14ac:dyDescent="0.25">
      <c r="A14" s="5" t="s">
        <v>9</v>
      </c>
    </row>
    <row r="15" spans="1:1" x14ac:dyDescent="0.25">
      <c r="A15" s="3" t="s">
        <v>10</v>
      </c>
    </row>
    <row r="16" spans="1:1" ht="18" customHeight="1" x14ac:dyDescent="0.25">
      <c r="A16" s="3" t="s">
        <v>11</v>
      </c>
    </row>
    <row r="17" spans="1:2" ht="18" customHeight="1" x14ac:dyDescent="0.25">
      <c r="A17" s="3" t="s">
        <v>12</v>
      </c>
    </row>
    <row r="18" spans="1:2" ht="18" customHeight="1" x14ac:dyDescent="0.25">
      <c r="A18" s="6" t="s">
        <v>13</v>
      </c>
    </row>
    <row r="19" spans="1:2" ht="18" customHeight="1" x14ac:dyDescent="0.25">
      <c r="A19" s="3"/>
    </row>
    <row r="20" spans="1:2" ht="18" customHeight="1" x14ac:dyDescent="0.25">
      <c r="A20" s="5" t="s">
        <v>14</v>
      </c>
    </row>
    <row r="21" spans="1:2" ht="18" customHeight="1" x14ac:dyDescent="0.25">
      <c r="A21" s="3" t="s">
        <v>15</v>
      </c>
    </row>
    <row r="22" spans="1:2" ht="18" customHeight="1" x14ac:dyDescent="0.25">
      <c r="A22" s="3" t="s">
        <v>16</v>
      </c>
    </row>
    <row r="23" spans="1:2" ht="18" customHeight="1" x14ac:dyDescent="0.25">
      <c r="A23" s="3" t="s">
        <v>17</v>
      </c>
    </row>
    <row r="24" spans="1:2" ht="18" customHeight="1" x14ac:dyDescent="0.25">
      <c r="A24" s="6" t="s">
        <v>18</v>
      </c>
      <c r="B24" t="s">
        <v>382</v>
      </c>
    </row>
    <row r="25" spans="1:2" ht="18" customHeight="1" x14ac:dyDescent="0.25">
      <c r="A25" s="3"/>
    </row>
    <row r="26" spans="1:2" ht="18" customHeight="1" x14ac:dyDescent="0.25">
      <c r="A26" s="5" t="s">
        <v>19</v>
      </c>
    </row>
    <row r="27" spans="1:2" ht="18" customHeight="1" x14ac:dyDescent="0.25">
      <c r="A27" s="3" t="s">
        <v>20</v>
      </c>
    </row>
    <row r="28" spans="1:2" ht="18" customHeight="1" x14ac:dyDescent="0.25">
      <c r="A28" s="3" t="s">
        <v>21</v>
      </c>
    </row>
    <row r="29" spans="1:2" ht="18" customHeight="1" x14ac:dyDescent="0.25">
      <c r="A29" s="3" t="s">
        <v>22</v>
      </c>
    </row>
    <row r="30" spans="1:2" ht="18" customHeight="1" x14ac:dyDescent="0.25">
      <c r="A30" s="6" t="s">
        <v>23</v>
      </c>
    </row>
    <row r="31" spans="1:2" ht="18" customHeight="1" x14ac:dyDescent="0.25">
      <c r="A31" s="3"/>
    </row>
    <row r="32" spans="1:2" ht="18" customHeight="1" x14ac:dyDescent="0.25">
      <c r="A32" s="5" t="s">
        <v>24</v>
      </c>
    </row>
    <row r="33" spans="1:1" ht="18" customHeight="1" x14ac:dyDescent="0.25">
      <c r="A33" s="3" t="s">
        <v>25</v>
      </c>
    </row>
    <row r="34" spans="1:1" ht="18" customHeight="1" x14ac:dyDescent="0.25">
      <c r="A34" s="3" t="s">
        <v>26</v>
      </c>
    </row>
    <row r="35" spans="1:1" ht="18" customHeight="1" x14ac:dyDescent="0.25">
      <c r="A35" s="3" t="s">
        <v>27</v>
      </c>
    </row>
    <row r="36" spans="1:1" ht="18" customHeight="1" x14ac:dyDescent="0.25">
      <c r="A36" s="6" t="s">
        <v>28</v>
      </c>
    </row>
    <row r="37" spans="1:1" ht="18" customHeight="1" x14ac:dyDescent="0.25">
      <c r="A37" s="6"/>
    </row>
    <row r="38" spans="1:1" ht="18" customHeight="1" x14ac:dyDescent="0.25">
      <c r="A38" s="6"/>
    </row>
    <row r="39" spans="1:1" ht="18" customHeight="1" x14ac:dyDescent="0.25">
      <c r="A39" s="6"/>
    </row>
    <row r="40" spans="1:1" ht="18" customHeight="1" x14ac:dyDescent="0.25">
      <c r="A40" s="6"/>
    </row>
    <row r="41" spans="1:1" ht="18" customHeight="1" x14ac:dyDescent="0.25">
      <c r="A41" s="6"/>
    </row>
    <row r="42" spans="1:1" ht="18" customHeight="1" x14ac:dyDescent="0.25">
      <c r="A42" s="6"/>
    </row>
    <row r="43" spans="1:1" ht="18" customHeight="1" x14ac:dyDescent="0.25">
      <c r="A43" s="6"/>
    </row>
    <row r="44" spans="1:1" ht="18" customHeight="1" x14ac:dyDescent="0.25">
      <c r="A44" s="51" t="s">
        <v>382</v>
      </c>
    </row>
    <row r="45" spans="1:1" ht="18" customHeight="1" x14ac:dyDescent="0.25">
      <c r="A45" s="51"/>
    </row>
    <row r="46" spans="1:1" ht="18" customHeight="1" x14ac:dyDescent="0.25">
      <c r="A46" s="6"/>
    </row>
    <row r="47" spans="1:1" ht="18" customHeight="1" x14ac:dyDescent="0.25">
      <c r="A47" s="3"/>
    </row>
    <row r="48" spans="1:1" ht="18" customHeight="1" x14ac:dyDescent="0.25">
      <c r="A48" s="4" t="s">
        <v>29</v>
      </c>
    </row>
    <row r="49" spans="1:1" x14ac:dyDescent="0.25">
      <c r="A49" s="3"/>
    </row>
    <row r="50" spans="1:1" x14ac:dyDescent="0.25">
      <c r="A50" s="7" t="s">
        <v>30</v>
      </c>
    </row>
    <row r="51" spans="1:1" ht="18" customHeight="1" x14ac:dyDescent="0.25">
      <c r="A51" s="7" t="s">
        <v>31</v>
      </c>
    </row>
    <row r="52" spans="1:1" x14ac:dyDescent="0.25">
      <c r="A52" s="3" t="s">
        <v>32</v>
      </c>
    </row>
    <row r="53" spans="1:1" ht="18" customHeight="1" x14ac:dyDescent="0.25">
      <c r="A53" s="3"/>
    </row>
    <row r="54" spans="1:1" ht="18" customHeight="1" x14ac:dyDescent="0.25">
      <c r="A54" s="8" t="s">
        <v>33</v>
      </c>
    </row>
    <row r="55" spans="1:1" x14ac:dyDescent="0.25">
      <c r="A55" s="8" t="s">
        <v>34</v>
      </c>
    </row>
    <row r="56" spans="1:1" ht="18" customHeight="1" x14ac:dyDescent="0.25">
      <c r="A56" s="3"/>
    </row>
    <row r="57" spans="1:1" ht="18" customHeight="1" x14ac:dyDescent="0.25">
      <c r="A57" s="4" t="s">
        <v>35</v>
      </c>
    </row>
    <row r="58" spans="1:1" ht="18" customHeight="1" x14ac:dyDescent="0.25">
      <c r="A58" s="3"/>
    </row>
    <row r="59" spans="1:1" ht="18" customHeight="1" x14ac:dyDescent="0.25">
      <c r="A59" s="5" t="s">
        <v>36</v>
      </c>
    </row>
    <row r="60" spans="1:1" ht="18" customHeight="1" x14ac:dyDescent="0.25">
      <c r="A60" s="3" t="s">
        <v>37</v>
      </c>
    </row>
    <row r="61" spans="1:1" ht="18" customHeight="1" x14ac:dyDescent="0.25">
      <c r="A61" s="3" t="s">
        <v>38</v>
      </c>
    </row>
    <row r="62" spans="1:1" ht="18" customHeight="1" x14ac:dyDescent="0.25">
      <c r="A62" s="3" t="s">
        <v>39</v>
      </c>
    </row>
    <row r="63" spans="1:1" ht="18" customHeight="1" x14ac:dyDescent="0.25">
      <c r="A63" s="3" t="s">
        <v>40</v>
      </c>
    </row>
    <row r="64" spans="1:1" ht="18" customHeight="1" x14ac:dyDescent="0.25">
      <c r="A64" s="3"/>
    </row>
    <row r="65" spans="1:1" ht="18" customHeight="1" x14ac:dyDescent="0.25">
      <c r="A65" s="5" t="s">
        <v>41</v>
      </c>
    </row>
    <row r="66" spans="1:1" ht="18" customHeight="1" x14ac:dyDescent="0.25">
      <c r="A66" s="3" t="s">
        <v>42</v>
      </c>
    </row>
    <row r="67" spans="1:1" ht="18" customHeight="1" x14ac:dyDescent="0.25">
      <c r="A67" s="3" t="s">
        <v>43</v>
      </c>
    </row>
    <row r="68" spans="1:1" ht="18" customHeight="1" x14ac:dyDescent="0.25">
      <c r="A68" s="3" t="s">
        <v>44</v>
      </c>
    </row>
    <row r="69" spans="1:1" ht="18" customHeight="1" x14ac:dyDescent="0.25">
      <c r="A69" s="3" t="s">
        <v>45</v>
      </c>
    </row>
    <row r="70" spans="1:1" ht="18" customHeight="1" x14ac:dyDescent="0.25">
      <c r="A70" s="3"/>
    </row>
    <row r="71" spans="1:1" ht="18" customHeight="1" x14ac:dyDescent="0.25">
      <c r="A71" s="5" t="s">
        <v>46</v>
      </c>
    </row>
    <row r="72" spans="1:1" ht="18" customHeight="1" x14ac:dyDescent="0.25">
      <c r="A72" s="3" t="s">
        <v>47</v>
      </c>
    </row>
    <row r="73" spans="1:1" ht="18" customHeight="1" x14ac:dyDescent="0.25">
      <c r="A73" s="3" t="s">
        <v>48</v>
      </c>
    </row>
    <row r="74" spans="1:1" ht="18" customHeight="1" x14ac:dyDescent="0.25">
      <c r="A74" s="3" t="s">
        <v>49</v>
      </c>
    </row>
    <row r="75" spans="1:1" ht="18" customHeight="1" x14ac:dyDescent="0.25">
      <c r="A75" s="3" t="s">
        <v>50</v>
      </c>
    </row>
    <row r="76" spans="1:1" ht="18" customHeight="1" x14ac:dyDescent="0.25">
      <c r="A76" s="3"/>
    </row>
    <row r="77" spans="1:1" ht="18" customHeight="1" x14ac:dyDescent="0.25">
      <c r="A77" s="4" t="s">
        <v>51</v>
      </c>
    </row>
    <row r="78" spans="1:1" ht="18" customHeight="1" x14ac:dyDescent="0.25">
      <c r="A78" s="3"/>
    </row>
    <row r="79" spans="1:1" ht="18" customHeight="1" x14ac:dyDescent="0.25">
      <c r="A79" s="3" t="s">
        <v>52</v>
      </c>
    </row>
    <row r="80" spans="1:1" ht="18" customHeight="1" x14ac:dyDescent="0.25">
      <c r="A80" s="3" t="s">
        <v>53</v>
      </c>
    </row>
    <row r="81" spans="1:1" ht="18" customHeight="1" x14ac:dyDescent="0.25">
      <c r="A81" s="3" t="s">
        <v>54</v>
      </c>
    </row>
    <row r="82" spans="1:1" ht="18" customHeight="1" x14ac:dyDescent="0.25">
      <c r="A82" s="3" t="s">
        <v>55</v>
      </c>
    </row>
    <row r="83" spans="1:1" ht="18" customHeight="1" x14ac:dyDescent="0.25">
      <c r="A83" s="3" t="s">
        <v>56</v>
      </c>
    </row>
    <row r="84" spans="1:1" ht="18" customHeight="1" x14ac:dyDescent="0.25">
      <c r="A84" s="3"/>
    </row>
    <row r="85" spans="1:1" ht="18" customHeight="1" x14ac:dyDescent="0.25">
      <c r="A85" s="3" t="s">
        <v>57</v>
      </c>
    </row>
    <row r="86" spans="1:1" ht="18" customHeight="1" x14ac:dyDescent="0.25">
      <c r="A86" s="3" t="s">
        <v>58</v>
      </c>
    </row>
    <row r="87" spans="1:1" ht="18" customHeight="1" x14ac:dyDescent="0.25">
      <c r="A87" s="3" t="s">
        <v>59</v>
      </c>
    </row>
    <row r="88" spans="1:1" ht="18" customHeight="1" x14ac:dyDescent="0.25">
      <c r="A88" s="3" t="s">
        <v>60</v>
      </c>
    </row>
    <row r="89" spans="1:1" ht="18" customHeight="1" x14ac:dyDescent="0.25">
      <c r="A89" s="3" t="s">
        <v>61</v>
      </c>
    </row>
    <row r="90" spans="1:1" ht="18" customHeight="1" x14ac:dyDescent="0.25">
      <c r="A90" s="3" t="s">
        <v>62</v>
      </c>
    </row>
    <row r="91" spans="1:1" ht="18" customHeight="1" x14ac:dyDescent="0.25">
      <c r="A91" s="3"/>
    </row>
    <row r="92" spans="1:1" ht="30" customHeight="1" x14ac:dyDescent="0.25">
      <c r="A92" s="4" t="s">
        <v>63</v>
      </c>
    </row>
    <row r="93" spans="1:1" ht="18" customHeight="1" x14ac:dyDescent="0.25">
      <c r="A93" s="3"/>
    </row>
    <row r="94" spans="1:1" ht="18" customHeight="1" x14ac:dyDescent="0.25">
      <c r="A94" s="9" t="s">
        <v>64</v>
      </c>
    </row>
    <row r="95" spans="1:1" ht="30" customHeight="1" x14ac:dyDescent="0.25">
      <c r="A95" s="10" t="s">
        <v>65</v>
      </c>
    </row>
    <row r="96" spans="1:1" ht="18" customHeight="1" x14ac:dyDescent="0.25">
      <c r="A96" s="3"/>
    </row>
    <row r="97" spans="1:1" ht="18" customHeight="1" x14ac:dyDescent="0.25">
      <c r="A97" s="9" t="s">
        <v>66</v>
      </c>
    </row>
    <row r="98" spans="1:1" ht="18" customHeight="1" x14ac:dyDescent="0.25">
      <c r="A98" s="10" t="s">
        <v>67</v>
      </c>
    </row>
    <row r="99" spans="1:1" ht="18" customHeight="1" x14ac:dyDescent="0.25">
      <c r="A99" s="3"/>
    </row>
    <row r="100" spans="1:1" ht="18" customHeight="1" x14ac:dyDescent="0.25">
      <c r="A100" s="4" t="s">
        <v>68</v>
      </c>
    </row>
    <row r="101" spans="1:1" ht="18" customHeight="1" x14ac:dyDescent="0.25">
      <c r="A101" s="3"/>
    </row>
    <row r="102" spans="1:1" ht="18" customHeight="1" x14ac:dyDescent="0.25">
      <c r="A102" s="3" t="s">
        <v>69</v>
      </c>
    </row>
    <row r="103" spans="1:1" ht="18" customHeight="1" x14ac:dyDescent="0.25">
      <c r="A103" s="3" t="s">
        <v>70</v>
      </c>
    </row>
    <row r="104" spans="1:1" ht="18" customHeight="1" x14ac:dyDescent="0.25">
      <c r="A104" s="3" t="s">
        <v>71</v>
      </c>
    </row>
    <row r="105" spans="1:1" x14ac:dyDescent="0.25">
      <c r="A105" s="3"/>
    </row>
    <row r="106" spans="1:1" x14ac:dyDescent="0.25">
      <c r="A106" s="11"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F6121-300B-4EB3-A439-32552B741501}">
  <dimension ref="A1:C5437"/>
  <sheetViews>
    <sheetView workbookViewId="0">
      <selection activeCell="C19" sqref="C19"/>
    </sheetView>
  </sheetViews>
  <sheetFormatPr defaultRowHeight="15" x14ac:dyDescent="0.25"/>
  <cols>
    <col min="1" max="1" width="4.85546875" customWidth="1"/>
    <col min="2" max="2" width="3.140625" customWidth="1"/>
    <col min="3" max="3" width="150.28515625" customWidth="1"/>
  </cols>
  <sheetData>
    <row r="1" spans="1:3" ht="18.75" x14ac:dyDescent="0.25">
      <c r="A1" s="1" t="s">
        <v>358</v>
      </c>
      <c r="B1" s="1"/>
      <c r="C1" s="1" t="s">
        <v>266</v>
      </c>
    </row>
    <row r="2" spans="1:3" ht="15.75" x14ac:dyDescent="0.25">
      <c r="C2" s="2" t="s">
        <v>1</v>
      </c>
    </row>
    <row r="4" spans="1:3" x14ac:dyDescent="0.25">
      <c r="C4" s="27" t="s">
        <v>357</v>
      </c>
    </row>
    <row r="7" spans="1:3" x14ac:dyDescent="0.25">
      <c r="C7" s="36" t="s">
        <v>491</v>
      </c>
    </row>
    <row r="8" spans="1:3" x14ac:dyDescent="0.25">
      <c r="A8" s="35">
        <f t="shared" ref="A8" si="0">IF(LEN(B7)&lt;5, A7, A7+1)</f>
        <v>0</v>
      </c>
      <c r="B8" s="33"/>
    </row>
    <row r="9" spans="1:3" x14ac:dyDescent="0.25">
      <c r="A9" s="35">
        <f>IF(IF(LEN(B8)&lt;5, A8, A8+1)=0,1,IF(LEN(B8)&lt;5, A8, A8+1))</f>
        <v>1</v>
      </c>
      <c r="B9" s="34" t="s">
        <v>410</v>
      </c>
    </row>
    <row r="10" spans="1:3" x14ac:dyDescent="0.25">
      <c r="A10" s="35">
        <f t="shared" ref="A10:A79" si="1">IF(IF(LEN(B9)&lt;5, A9, A9+1)=0,1,IF(LEN(B9)&lt;5, A9, A9+1))</f>
        <v>2</v>
      </c>
      <c r="B10" s="33" t="s">
        <v>267</v>
      </c>
      <c r="C10" s="3" t="s">
        <v>366</v>
      </c>
    </row>
    <row r="11" spans="1:3" x14ac:dyDescent="0.25">
      <c r="A11" s="35">
        <f t="shared" si="1"/>
        <v>2</v>
      </c>
      <c r="B11" s="33" t="s">
        <v>267</v>
      </c>
      <c r="C11" s="3" t="s">
        <v>530</v>
      </c>
    </row>
    <row r="12" spans="1:3" x14ac:dyDescent="0.25">
      <c r="A12" s="35">
        <f t="shared" si="1"/>
        <v>2</v>
      </c>
      <c r="B12" s="33" t="s">
        <v>267</v>
      </c>
      <c r="C12" s="3" t="s">
        <v>499</v>
      </c>
    </row>
    <row r="13" spans="1:3" x14ac:dyDescent="0.25">
      <c r="A13" s="35">
        <f t="shared" si="1"/>
        <v>2</v>
      </c>
      <c r="B13" s="32" t="s">
        <v>373</v>
      </c>
      <c r="C13" s="3"/>
    </row>
    <row r="14" spans="1:3" x14ac:dyDescent="0.25">
      <c r="A14" s="35">
        <f t="shared" si="1"/>
        <v>3</v>
      </c>
      <c r="B14" s="33" t="s">
        <v>267</v>
      </c>
      <c r="C14" s="3" t="s">
        <v>381</v>
      </c>
    </row>
    <row r="15" spans="1:3" x14ac:dyDescent="0.25">
      <c r="A15" s="35">
        <f t="shared" si="1"/>
        <v>3</v>
      </c>
      <c r="B15" s="33" t="s">
        <v>267</v>
      </c>
      <c r="C15" s="3" t="s">
        <v>454</v>
      </c>
    </row>
    <row r="16" spans="1:3" x14ac:dyDescent="0.25">
      <c r="A16" s="35">
        <f t="shared" si="1"/>
        <v>3</v>
      </c>
      <c r="B16" s="33" t="s">
        <v>267</v>
      </c>
      <c r="C16" s="3" t="s">
        <v>466</v>
      </c>
    </row>
    <row r="17" spans="1:3" x14ac:dyDescent="0.25">
      <c r="A17" s="35">
        <f t="shared" si="1"/>
        <v>3</v>
      </c>
      <c r="B17" s="33" t="s">
        <v>267</v>
      </c>
      <c r="C17" s="27" t="s">
        <v>472</v>
      </c>
    </row>
    <row r="18" spans="1:3" x14ac:dyDescent="0.25">
      <c r="A18" s="35">
        <f t="shared" si="1"/>
        <v>3</v>
      </c>
      <c r="B18" s="32" t="s">
        <v>497</v>
      </c>
      <c r="C18" s="3"/>
    </row>
    <row r="19" spans="1:3" x14ac:dyDescent="0.25">
      <c r="A19" s="35">
        <f t="shared" si="1"/>
        <v>4</v>
      </c>
      <c r="B19" s="33" t="s">
        <v>267</v>
      </c>
      <c r="C19" s="27" t="s">
        <v>476</v>
      </c>
    </row>
    <row r="20" spans="1:3" x14ac:dyDescent="0.25">
      <c r="A20" s="35">
        <f t="shared" si="1"/>
        <v>4</v>
      </c>
      <c r="B20" s="33" t="s">
        <v>267</v>
      </c>
      <c r="C20" s="27" t="s">
        <v>477</v>
      </c>
    </row>
    <row r="21" spans="1:3" x14ac:dyDescent="0.25">
      <c r="A21" s="35">
        <f t="shared" si="1"/>
        <v>4</v>
      </c>
      <c r="B21" s="33" t="s">
        <v>267</v>
      </c>
      <c r="C21" s="3" t="s">
        <v>498</v>
      </c>
    </row>
    <row r="22" spans="1:3" x14ac:dyDescent="0.25">
      <c r="A22" s="35">
        <f>IF(IF(LEN(B21)&lt;5, A21, A21+1)=0,1,IF(LEN(B21)&lt;5, A21, A21+1))</f>
        <v>4</v>
      </c>
      <c r="B22" s="33" t="s">
        <v>267</v>
      </c>
      <c r="C22" s="3"/>
    </row>
    <row r="23" spans="1:3" x14ac:dyDescent="0.25">
      <c r="A23" s="35">
        <f t="shared" si="1"/>
        <v>4</v>
      </c>
      <c r="B23" s="32" t="s">
        <v>411</v>
      </c>
      <c r="C23" s="3"/>
    </row>
    <row r="24" spans="1:3" x14ac:dyDescent="0.25">
      <c r="A24" s="35">
        <f t="shared" si="1"/>
        <v>5</v>
      </c>
      <c r="B24" s="33" t="s">
        <v>267</v>
      </c>
      <c r="C24" s="3" t="s">
        <v>374</v>
      </c>
    </row>
    <row r="25" spans="1:3" x14ac:dyDescent="0.25">
      <c r="A25" s="35">
        <f t="shared" si="1"/>
        <v>5</v>
      </c>
      <c r="B25" s="33" t="s">
        <v>267</v>
      </c>
      <c r="C25" s="3" t="s">
        <v>375</v>
      </c>
    </row>
    <row r="26" spans="1:3" x14ac:dyDescent="0.25">
      <c r="A26" s="35">
        <f t="shared" si="1"/>
        <v>5</v>
      </c>
      <c r="B26" s="33" t="s">
        <v>267</v>
      </c>
      <c r="C26" s="3" t="s">
        <v>277</v>
      </c>
    </row>
    <row r="27" spans="1:3" x14ac:dyDescent="0.25">
      <c r="A27" s="35">
        <f t="shared" si="1"/>
        <v>5</v>
      </c>
      <c r="B27" s="33" t="s">
        <v>267</v>
      </c>
      <c r="C27" s="27" t="s">
        <v>396</v>
      </c>
    </row>
    <row r="28" spans="1:3" x14ac:dyDescent="0.25">
      <c r="A28" s="35"/>
      <c r="B28" s="33" t="s">
        <v>267</v>
      </c>
      <c r="C28" s="27" t="s">
        <v>531</v>
      </c>
    </row>
    <row r="29" spans="1:3" x14ac:dyDescent="0.25">
      <c r="A29" s="35">
        <f>IF(IF(LEN(B27)&lt;5, A27, A27+1)=0,1,IF(LEN(B27)&lt;5, A27, A27+1))</f>
        <v>5</v>
      </c>
      <c r="B29" s="33" t="s">
        <v>267</v>
      </c>
      <c r="C29" s="3" t="s">
        <v>500</v>
      </c>
    </row>
    <row r="30" spans="1:3" x14ac:dyDescent="0.25">
      <c r="A30" s="35">
        <f t="shared" si="1"/>
        <v>5</v>
      </c>
      <c r="B30" s="32" t="s">
        <v>475</v>
      </c>
      <c r="C30" s="3"/>
    </row>
    <row r="31" spans="1:3" x14ac:dyDescent="0.25">
      <c r="A31" s="35">
        <f t="shared" si="1"/>
        <v>6</v>
      </c>
      <c r="B31" s="33" t="s">
        <v>267</v>
      </c>
      <c r="C31" s="3" t="s">
        <v>380</v>
      </c>
    </row>
    <row r="32" spans="1:3" x14ac:dyDescent="0.25">
      <c r="A32" s="35">
        <f t="shared" si="1"/>
        <v>6</v>
      </c>
      <c r="B32" s="33" t="s">
        <v>267</v>
      </c>
      <c r="C32" s="3" t="s">
        <v>467</v>
      </c>
    </row>
    <row r="33" spans="1:3" x14ac:dyDescent="0.25">
      <c r="A33" s="35">
        <f t="shared" si="1"/>
        <v>6</v>
      </c>
      <c r="B33" s="33" t="s">
        <v>267</v>
      </c>
      <c r="C33" s="3" t="s">
        <v>468</v>
      </c>
    </row>
    <row r="34" spans="1:3" x14ac:dyDescent="0.25">
      <c r="A34" s="35">
        <f t="shared" si="1"/>
        <v>6</v>
      </c>
      <c r="B34" s="32" t="s">
        <v>473</v>
      </c>
    </row>
    <row r="35" spans="1:3" x14ac:dyDescent="0.25">
      <c r="A35" s="35">
        <f t="shared" si="1"/>
        <v>7</v>
      </c>
      <c r="B35" s="33" t="s">
        <v>267</v>
      </c>
      <c r="C35" s="27" t="s">
        <v>394</v>
      </c>
    </row>
    <row r="36" spans="1:3" x14ac:dyDescent="0.25">
      <c r="A36" s="35">
        <f t="shared" si="1"/>
        <v>7</v>
      </c>
      <c r="B36" s="33" t="s">
        <v>267</v>
      </c>
      <c r="C36" s="27" t="s">
        <v>395</v>
      </c>
    </row>
    <row r="37" spans="1:3" x14ac:dyDescent="0.25">
      <c r="A37" s="35">
        <f t="shared" si="1"/>
        <v>7</v>
      </c>
      <c r="B37" s="33" t="s">
        <v>267</v>
      </c>
      <c r="C37" s="27" t="s">
        <v>401</v>
      </c>
    </row>
    <row r="38" spans="1:3" x14ac:dyDescent="0.25">
      <c r="A38" s="35">
        <f t="shared" si="1"/>
        <v>7</v>
      </c>
      <c r="B38" s="33" t="s">
        <v>267</v>
      </c>
      <c r="C38" s="27" t="s">
        <v>525</v>
      </c>
    </row>
    <row r="39" spans="1:3" x14ac:dyDescent="0.25">
      <c r="A39" s="35">
        <f t="shared" si="1"/>
        <v>7</v>
      </c>
      <c r="B39" s="33" t="s">
        <v>267</v>
      </c>
      <c r="C39" s="3"/>
    </row>
    <row r="40" spans="1:3" x14ac:dyDescent="0.25">
      <c r="A40" s="35">
        <f t="shared" si="1"/>
        <v>7</v>
      </c>
      <c r="B40" s="33" t="s">
        <v>267</v>
      </c>
      <c r="C40" s="3"/>
    </row>
    <row r="41" spans="1:3" x14ac:dyDescent="0.25">
      <c r="A41" s="35">
        <f t="shared" si="1"/>
        <v>7</v>
      </c>
      <c r="B41" s="32" t="s">
        <v>409</v>
      </c>
      <c r="C41" s="3"/>
    </row>
    <row r="42" spans="1:3" x14ac:dyDescent="0.25">
      <c r="A42" s="35">
        <f t="shared" si="1"/>
        <v>8</v>
      </c>
      <c r="B42" s="33" t="s">
        <v>267</v>
      </c>
      <c r="C42" s="3" t="s">
        <v>346</v>
      </c>
    </row>
    <row r="43" spans="1:3" x14ac:dyDescent="0.25">
      <c r="A43" s="35">
        <f t="shared" si="1"/>
        <v>8</v>
      </c>
      <c r="B43" s="33" t="s">
        <v>267</v>
      </c>
      <c r="C43" s="27" t="s">
        <v>397</v>
      </c>
    </row>
    <row r="44" spans="1:3" x14ac:dyDescent="0.25">
      <c r="A44" s="35">
        <f t="shared" si="1"/>
        <v>8</v>
      </c>
      <c r="B44" s="33" t="s">
        <v>267</v>
      </c>
      <c r="C44" s="27" t="s">
        <v>398</v>
      </c>
    </row>
    <row r="45" spans="1:3" x14ac:dyDescent="0.25">
      <c r="A45" s="35">
        <f t="shared" si="1"/>
        <v>8</v>
      </c>
      <c r="B45" s="33" t="s">
        <v>267</v>
      </c>
      <c r="C45" s="3"/>
    </row>
    <row r="46" spans="1:3" x14ac:dyDescent="0.25">
      <c r="A46" s="35">
        <f t="shared" si="1"/>
        <v>8</v>
      </c>
      <c r="B46" s="32" t="s">
        <v>453</v>
      </c>
      <c r="C46" s="3"/>
    </row>
    <row r="47" spans="1:3" x14ac:dyDescent="0.25">
      <c r="A47" s="35">
        <f t="shared" si="1"/>
        <v>9</v>
      </c>
      <c r="B47" s="33" t="s">
        <v>267</v>
      </c>
      <c r="C47" s="3" t="s">
        <v>376</v>
      </c>
    </row>
    <row r="48" spans="1:3" x14ac:dyDescent="0.25">
      <c r="A48" s="35">
        <f t="shared" si="1"/>
        <v>9</v>
      </c>
      <c r="B48" s="33" t="s">
        <v>267</v>
      </c>
      <c r="C48" s="3" t="s">
        <v>521</v>
      </c>
    </row>
    <row r="49" spans="1:3" x14ac:dyDescent="0.25">
      <c r="A49" s="35">
        <f t="shared" si="1"/>
        <v>9</v>
      </c>
      <c r="B49" s="33" t="s">
        <v>267</v>
      </c>
      <c r="C49" s="27" t="s">
        <v>450</v>
      </c>
    </row>
    <row r="50" spans="1:3" x14ac:dyDescent="0.25">
      <c r="A50" s="35">
        <f t="shared" si="1"/>
        <v>9</v>
      </c>
      <c r="B50" s="32" t="s">
        <v>372</v>
      </c>
      <c r="C50" s="3"/>
    </row>
    <row r="51" spans="1:3" x14ac:dyDescent="0.25">
      <c r="A51" s="35">
        <f t="shared" si="1"/>
        <v>10</v>
      </c>
      <c r="B51" s="33" t="s">
        <v>267</v>
      </c>
      <c r="C51" s="3" t="s">
        <v>377</v>
      </c>
    </row>
    <row r="52" spans="1:3" x14ac:dyDescent="0.25">
      <c r="A52" s="35">
        <f t="shared" si="1"/>
        <v>10</v>
      </c>
      <c r="B52" s="33" t="s">
        <v>267</v>
      </c>
      <c r="C52" s="3" t="s">
        <v>378</v>
      </c>
    </row>
    <row r="53" spans="1:3" x14ac:dyDescent="0.25">
      <c r="A53" s="35">
        <f t="shared" si="1"/>
        <v>10</v>
      </c>
      <c r="B53" s="33" t="s">
        <v>267</v>
      </c>
      <c r="C53" s="3" t="s">
        <v>379</v>
      </c>
    </row>
    <row r="54" spans="1:3" x14ac:dyDescent="0.25">
      <c r="A54" s="35">
        <f t="shared" si="1"/>
        <v>10</v>
      </c>
      <c r="B54" s="33" t="s">
        <v>267</v>
      </c>
      <c r="C54" s="3" t="s">
        <v>356</v>
      </c>
    </row>
    <row r="55" spans="1:3" x14ac:dyDescent="0.25">
      <c r="A55" s="35">
        <f t="shared" si="1"/>
        <v>10</v>
      </c>
      <c r="B55" s="32" t="s">
        <v>465</v>
      </c>
      <c r="C55" s="3"/>
    </row>
    <row r="56" spans="1:3" x14ac:dyDescent="0.25">
      <c r="A56" s="35">
        <f t="shared" si="1"/>
        <v>11</v>
      </c>
      <c r="B56" s="33" t="s">
        <v>267</v>
      </c>
      <c r="C56" s="3" t="s">
        <v>522</v>
      </c>
    </row>
    <row r="57" spans="1:3" x14ac:dyDescent="0.25">
      <c r="A57" s="35">
        <f t="shared" si="1"/>
        <v>11</v>
      </c>
      <c r="B57" s="33" t="s">
        <v>267</v>
      </c>
      <c r="C57" s="3"/>
    </row>
    <row r="58" spans="1:3" x14ac:dyDescent="0.25">
      <c r="A58" s="35">
        <f t="shared" si="1"/>
        <v>11</v>
      </c>
      <c r="B58" s="32" t="s">
        <v>451</v>
      </c>
      <c r="C58" s="3"/>
    </row>
    <row r="59" spans="1:3" x14ac:dyDescent="0.25">
      <c r="A59" s="35">
        <f t="shared" si="1"/>
        <v>12</v>
      </c>
      <c r="B59" s="33" t="s">
        <v>267</v>
      </c>
      <c r="C59" s="3" t="s">
        <v>447</v>
      </c>
    </row>
    <row r="60" spans="1:3" x14ac:dyDescent="0.25">
      <c r="A60" s="35">
        <f t="shared" si="1"/>
        <v>12</v>
      </c>
      <c r="B60" s="33" t="s">
        <v>267</v>
      </c>
      <c r="C60" s="3" t="s">
        <v>523</v>
      </c>
    </row>
    <row r="61" spans="1:3" x14ac:dyDescent="0.25">
      <c r="A61" s="35">
        <f t="shared" si="1"/>
        <v>12</v>
      </c>
      <c r="B61" s="33" t="s">
        <v>267</v>
      </c>
      <c r="C61" s="27"/>
    </row>
    <row r="62" spans="1:3" x14ac:dyDescent="0.25">
      <c r="A62" s="35">
        <f t="shared" si="1"/>
        <v>12</v>
      </c>
      <c r="B62" s="32" t="s">
        <v>452</v>
      </c>
      <c r="C62" s="3"/>
    </row>
    <row r="63" spans="1:3" x14ac:dyDescent="0.25">
      <c r="A63" s="35">
        <f t="shared" si="1"/>
        <v>13</v>
      </c>
      <c r="B63" s="33" t="s">
        <v>267</v>
      </c>
      <c r="C63" s="27" t="s">
        <v>524</v>
      </c>
    </row>
    <row r="64" spans="1:3" x14ac:dyDescent="0.25">
      <c r="A64" s="35">
        <f t="shared" si="1"/>
        <v>13</v>
      </c>
      <c r="B64" s="33" t="s">
        <v>267</v>
      </c>
      <c r="C64" s="27" t="s">
        <v>474</v>
      </c>
    </row>
    <row r="65" spans="1:3" x14ac:dyDescent="0.25">
      <c r="A65" s="35">
        <f t="shared" si="1"/>
        <v>13</v>
      </c>
      <c r="B65" s="33" t="s">
        <v>267</v>
      </c>
    </row>
    <row r="66" spans="1:3" x14ac:dyDescent="0.25">
      <c r="A66" s="35">
        <f t="shared" si="1"/>
        <v>13</v>
      </c>
      <c r="B66" s="32" t="s">
        <v>528</v>
      </c>
      <c r="C66" s="3"/>
    </row>
    <row r="67" spans="1:3" x14ac:dyDescent="0.25">
      <c r="A67" s="35">
        <f t="shared" si="1"/>
        <v>14</v>
      </c>
      <c r="B67" s="33" t="s">
        <v>267</v>
      </c>
      <c r="C67" s="27" t="s">
        <v>526</v>
      </c>
    </row>
    <row r="68" spans="1:3" x14ac:dyDescent="0.25">
      <c r="A68" s="35"/>
      <c r="B68" s="33" t="s">
        <v>267</v>
      </c>
      <c r="C68" s="27" t="s">
        <v>527</v>
      </c>
    </row>
    <row r="69" spans="1:3" x14ac:dyDescent="0.25">
      <c r="A69" s="35">
        <f>IF(IF(LEN(B67)&lt;5, A67, A67+1)=0,1,IF(LEN(B67)&lt;5, A67, A67+1))</f>
        <v>14</v>
      </c>
      <c r="B69" s="32" t="s">
        <v>490</v>
      </c>
      <c r="C69" s="3"/>
    </row>
    <row r="70" spans="1:3" x14ac:dyDescent="0.25">
      <c r="A70" s="35">
        <f t="shared" si="1"/>
        <v>15</v>
      </c>
      <c r="B70" s="33" t="s">
        <v>267</v>
      </c>
      <c r="C70" t="s">
        <v>529</v>
      </c>
    </row>
    <row r="71" spans="1:3" x14ac:dyDescent="0.25">
      <c r="A71" s="35">
        <f t="shared" si="1"/>
        <v>15</v>
      </c>
      <c r="B71" s="33" t="s">
        <v>267</v>
      </c>
    </row>
    <row r="72" spans="1:3" x14ac:dyDescent="0.25">
      <c r="A72" s="35">
        <f t="shared" si="1"/>
        <v>15</v>
      </c>
      <c r="B72" s="33" t="s">
        <v>267</v>
      </c>
    </row>
    <row r="73" spans="1:3" x14ac:dyDescent="0.25">
      <c r="A73" s="35">
        <f t="shared" si="1"/>
        <v>15</v>
      </c>
      <c r="B73" s="33" t="s">
        <v>267</v>
      </c>
    </row>
    <row r="74" spans="1:3" x14ac:dyDescent="0.25">
      <c r="A74" s="35">
        <f t="shared" si="1"/>
        <v>15</v>
      </c>
      <c r="B74" s="33" t="s">
        <v>267</v>
      </c>
    </row>
    <row r="75" spans="1:3" x14ac:dyDescent="0.25">
      <c r="A75" s="35">
        <f t="shared" si="1"/>
        <v>15</v>
      </c>
      <c r="B75" s="33" t="s">
        <v>267</v>
      </c>
    </row>
    <row r="76" spans="1:3" x14ac:dyDescent="0.25">
      <c r="A76" s="35">
        <f t="shared" si="1"/>
        <v>15</v>
      </c>
      <c r="B76" s="33" t="s">
        <v>267</v>
      </c>
    </row>
    <row r="77" spans="1:3" x14ac:dyDescent="0.25">
      <c r="A77" s="35">
        <f t="shared" si="1"/>
        <v>15</v>
      </c>
      <c r="B77" s="33" t="s">
        <v>267</v>
      </c>
    </row>
    <row r="78" spans="1:3" x14ac:dyDescent="0.25">
      <c r="A78" s="35">
        <f>IF(IF(LEN(B77)&lt;5, A77, A77+1)=0,1,IF(LEN(B77)&lt;5, A77, A77+1))</f>
        <v>15</v>
      </c>
      <c r="B78" s="33" t="s">
        <v>267</v>
      </c>
    </row>
    <row r="79" spans="1:3" x14ac:dyDescent="0.25">
      <c r="A79" s="35">
        <f t="shared" si="1"/>
        <v>15</v>
      </c>
      <c r="B79" s="33" t="s">
        <v>267</v>
      </c>
    </row>
    <row r="80" spans="1:3" x14ac:dyDescent="0.25">
      <c r="A80" s="35">
        <f t="shared" ref="A80:A82" si="2">IF(IF(LEN(B79)&lt;5, A79, A79+1)=0,1,IF(LEN(B79)&lt;5, A79, A79+1))</f>
        <v>15</v>
      </c>
      <c r="B80" s="33" t="s">
        <v>267</v>
      </c>
    </row>
    <row r="81" spans="1:2" x14ac:dyDescent="0.25">
      <c r="A81" s="35">
        <f t="shared" si="2"/>
        <v>15</v>
      </c>
      <c r="B81" s="33" t="s">
        <v>267</v>
      </c>
    </row>
    <row r="82" spans="1:2" x14ac:dyDescent="0.25">
      <c r="A82" s="35">
        <f t="shared" si="2"/>
        <v>15</v>
      </c>
    </row>
    <row r="83" spans="1:2" x14ac:dyDescent="0.25">
      <c r="A83" s="35">
        <f t="shared" ref="A83:A84" si="3">IF(LEN(B82)&lt;5, A82, A82+1)</f>
        <v>15</v>
      </c>
    </row>
    <row r="84" spans="1:2" x14ac:dyDescent="0.25">
      <c r="A84" s="35">
        <f t="shared" si="3"/>
        <v>15</v>
      </c>
    </row>
    <row r="5437" spans="3:3" x14ac:dyDescent="0.25">
      <c r="C5437">
        <v>6</v>
      </c>
    </row>
  </sheetData>
  <conditionalFormatting sqref="A1:A26 A29:A66 A69:A1048576">
    <cfRule type="expression" dxfId="168" priority="2">
      <formula>AND( OR($A1=$A2, $B1=""), $A1&lt;&gt;"#")</formula>
    </cfRule>
  </conditionalFormatting>
  <conditionalFormatting sqref="A1048576">
    <cfRule type="expression" dxfId="167" priority="20">
      <formula>AND( OR(#REF!=$A1, #REF!=""), #REF!&lt;&gt;"#")</formula>
    </cfRule>
  </conditionalFormatting>
  <conditionalFormatting sqref="A67:A68 A27:A28">
    <cfRule type="expression" dxfId="166" priority="40">
      <formula>AND( OR($A27=$A29, $B27=""), $A27&lt;&gt;"#")</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1FC6-6255-460C-BC21-36661B9AE1D9}">
  <dimension ref="A1:G36"/>
  <sheetViews>
    <sheetView tabSelected="1" workbookViewId="0">
      <selection activeCell="G24" sqref="G24"/>
    </sheetView>
  </sheetViews>
  <sheetFormatPr defaultRowHeight="15" x14ac:dyDescent="0.25"/>
  <cols>
    <col min="1" max="1" width="4.140625" customWidth="1"/>
    <col min="3" max="3" width="90.7109375" customWidth="1"/>
    <col min="4" max="4" width="17.42578125" customWidth="1"/>
    <col min="7" max="7" width="36.85546875" customWidth="1"/>
  </cols>
  <sheetData>
    <row r="1" spans="1:7" x14ac:dyDescent="0.25">
      <c r="A1" s="12" t="s">
        <v>358</v>
      </c>
      <c r="B1" s="12" t="s">
        <v>73</v>
      </c>
      <c r="C1" s="12" t="s">
        <v>74</v>
      </c>
      <c r="D1" s="12" t="s">
        <v>75</v>
      </c>
      <c r="E1" s="12" t="s">
        <v>76</v>
      </c>
      <c r="F1" s="12" t="s">
        <v>77</v>
      </c>
      <c r="G1" s="12" t="s">
        <v>78</v>
      </c>
    </row>
    <row r="2" spans="1:7" x14ac:dyDescent="0.25">
      <c r="A2" s="40">
        <v>1</v>
      </c>
      <c r="B2" s="29" t="s">
        <v>532</v>
      </c>
      <c r="C2" s="19"/>
      <c r="D2" s="19"/>
      <c r="E2" s="19"/>
      <c r="F2" s="19"/>
      <c r="G2" s="19"/>
    </row>
    <row r="3" spans="1:7" x14ac:dyDescent="0.25">
      <c r="A3" s="31">
        <f>IF(ISTEXT(B2), A2+1, A2)</f>
        <v>2</v>
      </c>
      <c r="B3" s="13">
        <v>1</v>
      </c>
      <c r="C3" s="26" t="s">
        <v>510</v>
      </c>
      <c r="D3" s="14" t="s">
        <v>400</v>
      </c>
      <c r="E3" s="14"/>
      <c r="F3" s="14"/>
      <c r="G3" s="14"/>
    </row>
    <row r="4" spans="1:7" x14ac:dyDescent="0.25">
      <c r="A4" s="31">
        <f>IF(ISTEXT(B3), A3+1, A3)</f>
        <v>2</v>
      </c>
      <c r="B4" s="13">
        <f t="shared" ref="B4:B17" si="0">IF(ISTEXT(B3), B2+1, B3+1)</f>
        <v>2</v>
      </c>
      <c r="C4" s="26"/>
      <c r="D4" s="14"/>
      <c r="E4" s="14"/>
      <c r="F4" s="14"/>
      <c r="G4" s="14"/>
    </row>
    <row r="5" spans="1:7" x14ac:dyDescent="0.25">
      <c r="A5" s="31">
        <f>IF(ISTEXT(B4), A4+1, A4)</f>
        <v>2</v>
      </c>
      <c r="B5" s="13">
        <f t="shared" si="0"/>
        <v>3</v>
      </c>
      <c r="C5" s="26"/>
      <c r="D5" s="14"/>
      <c r="E5" s="14"/>
      <c r="F5" s="14"/>
      <c r="G5" s="14"/>
    </row>
    <row r="6" spans="1:7" x14ac:dyDescent="0.25">
      <c r="A6" s="31">
        <f>IF(ISTEXT(B5), A5+1, A5)</f>
        <v>2</v>
      </c>
      <c r="B6" s="13">
        <f t="shared" si="0"/>
        <v>4</v>
      </c>
      <c r="C6" s="26"/>
      <c r="D6" s="14"/>
      <c r="E6" s="14"/>
      <c r="F6" s="14"/>
      <c r="G6" s="14"/>
    </row>
    <row r="7" spans="1:7" x14ac:dyDescent="0.25">
      <c r="A7" s="31">
        <f>IF(ISTEXT(B6), A6+1, A6)</f>
        <v>2</v>
      </c>
      <c r="B7" s="13">
        <f t="shared" si="0"/>
        <v>5</v>
      </c>
      <c r="C7" s="26"/>
      <c r="D7" s="14"/>
      <c r="E7" s="14"/>
      <c r="F7" s="14"/>
      <c r="G7" s="14"/>
    </row>
    <row r="8" spans="1:7" x14ac:dyDescent="0.25">
      <c r="A8" s="40">
        <f>IF(ISTEXT(B7), A7+1, A7)</f>
        <v>2</v>
      </c>
      <c r="B8" s="29" t="s">
        <v>503</v>
      </c>
      <c r="C8" s="19"/>
      <c r="D8" s="19"/>
      <c r="E8" s="19"/>
      <c r="F8" s="19"/>
      <c r="G8" s="19"/>
    </row>
    <row r="9" spans="1:7" x14ac:dyDescent="0.25">
      <c r="A9" s="31">
        <f t="shared" ref="A9:A31" si="1">IF(ISTEXT(B8), A8+1, A8)</f>
        <v>3</v>
      </c>
      <c r="B9" s="13">
        <f t="shared" si="0"/>
        <v>6</v>
      </c>
      <c r="C9" s="26" t="s">
        <v>504</v>
      </c>
      <c r="D9" s="14" t="s">
        <v>400</v>
      </c>
      <c r="E9" s="14"/>
      <c r="F9" s="14"/>
      <c r="G9" s="14"/>
    </row>
    <row r="10" spans="1:7" x14ac:dyDescent="0.25">
      <c r="A10" s="31">
        <f t="shared" si="1"/>
        <v>3</v>
      </c>
      <c r="B10" s="13">
        <f t="shared" si="0"/>
        <v>7</v>
      </c>
      <c r="C10" s="26" t="s">
        <v>505</v>
      </c>
      <c r="D10" s="14" t="s">
        <v>431</v>
      </c>
      <c r="E10" s="14"/>
      <c r="F10" s="14"/>
      <c r="G10" s="14"/>
    </row>
    <row r="11" spans="1:7" x14ac:dyDescent="0.25">
      <c r="A11" s="31">
        <f t="shared" si="1"/>
        <v>3</v>
      </c>
      <c r="B11" s="13">
        <f t="shared" si="0"/>
        <v>8</v>
      </c>
      <c r="C11" s="26" t="s">
        <v>502</v>
      </c>
      <c r="D11" s="14" t="s">
        <v>431</v>
      </c>
      <c r="E11" s="14"/>
      <c r="F11" s="14"/>
      <c r="G11" s="14"/>
    </row>
    <row r="12" spans="1:7" x14ac:dyDescent="0.25">
      <c r="A12" s="31">
        <f t="shared" si="1"/>
        <v>3</v>
      </c>
      <c r="B12" s="13">
        <f t="shared" si="0"/>
        <v>9</v>
      </c>
      <c r="C12" s="26" t="s">
        <v>506</v>
      </c>
      <c r="D12" s="14" t="s">
        <v>431</v>
      </c>
      <c r="E12" s="14"/>
      <c r="F12" s="14"/>
      <c r="G12" s="14"/>
    </row>
    <row r="13" spans="1:7" x14ac:dyDescent="0.25">
      <c r="A13" s="31">
        <f t="shared" si="1"/>
        <v>3</v>
      </c>
      <c r="B13" s="13">
        <f t="shared" si="0"/>
        <v>10</v>
      </c>
      <c r="C13" s="26" t="s">
        <v>520</v>
      </c>
      <c r="D13" s="14" t="s">
        <v>431</v>
      </c>
      <c r="E13" s="14"/>
      <c r="F13" s="14"/>
      <c r="G13" s="14"/>
    </row>
    <row r="14" spans="1:7" x14ac:dyDescent="0.25">
      <c r="A14" s="31"/>
      <c r="B14" s="13">
        <f t="shared" si="0"/>
        <v>11</v>
      </c>
      <c r="C14" s="26" t="s">
        <v>507</v>
      </c>
      <c r="D14" s="14" t="s">
        <v>431</v>
      </c>
      <c r="E14" s="14"/>
      <c r="F14" s="14"/>
      <c r="G14" s="14"/>
    </row>
    <row r="15" spans="1:7" x14ac:dyDescent="0.25">
      <c r="A15" s="31"/>
      <c r="B15" s="13">
        <f t="shared" si="0"/>
        <v>12</v>
      </c>
      <c r="C15" s="26" t="s">
        <v>508</v>
      </c>
      <c r="D15" s="14" t="s">
        <v>400</v>
      </c>
      <c r="E15" s="14"/>
      <c r="F15" s="14"/>
      <c r="G15" s="14"/>
    </row>
    <row r="16" spans="1:7" x14ac:dyDescent="0.25">
      <c r="A16" s="31">
        <f>IF(ISTEXT(B12), A12+1, A12)</f>
        <v>3</v>
      </c>
      <c r="B16" s="13">
        <f t="shared" si="0"/>
        <v>13</v>
      </c>
      <c r="C16" s="26" t="s">
        <v>509</v>
      </c>
      <c r="D16" s="14"/>
      <c r="E16" s="14"/>
      <c r="F16" s="14"/>
      <c r="G16" s="14"/>
    </row>
    <row r="17" spans="1:7" x14ac:dyDescent="0.25">
      <c r="A17" s="31">
        <f>IF(ISTEXT(B13), A13+1, A13)</f>
        <v>3</v>
      </c>
      <c r="B17" s="13">
        <f t="shared" si="0"/>
        <v>14</v>
      </c>
      <c r="C17" s="26"/>
      <c r="D17" s="14"/>
      <c r="E17" s="14"/>
      <c r="F17" s="14"/>
      <c r="G17" s="14"/>
    </row>
    <row r="18" spans="1:7" x14ac:dyDescent="0.25">
      <c r="A18" s="40">
        <f t="shared" si="1"/>
        <v>3</v>
      </c>
      <c r="B18" s="29" t="s">
        <v>517</v>
      </c>
      <c r="C18" s="19"/>
      <c r="D18" s="19"/>
      <c r="E18" s="19"/>
      <c r="F18" s="19"/>
      <c r="G18" s="19"/>
    </row>
    <row r="19" spans="1:7" x14ac:dyDescent="0.25">
      <c r="A19" s="31">
        <f t="shared" si="1"/>
        <v>4</v>
      </c>
      <c r="B19" s="13">
        <f t="shared" ref="B19:B31" si="2">IF(ISTEXT(B18), B17+1, B18+1)</f>
        <v>15</v>
      </c>
      <c r="C19" s="26" t="s">
        <v>386</v>
      </c>
      <c r="D19" s="14"/>
      <c r="E19" s="14"/>
      <c r="F19" s="14"/>
      <c r="G19" s="14"/>
    </row>
    <row r="20" spans="1:7" x14ac:dyDescent="0.25">
      <c r="A20" s="31">
        <f t="shared" si="1"/>
        <v>4</v>
      </c>
      <c r="B20" s="13">
        <f t="shared" si="2"/>
        <v>16</v>
      </c>
      <c r="C20" s="26"/>
      <c r="D20" s="14"/>
      <c r="E20" s="14"/>
      <c r="F20" s="14"/>
      <c r="G20" s="14"/>
    </row>
    <row r="21" spans="1:7" x14ac:dyDescent="0.25">
      <c r="A21" s="31">
        <f t="shared" si="1"/>
        <v>4</v>
      </c>
      <c r="B21" s="13">
        <f t="shared" si="2"/>
        <v>17</v>
      </c>
      <c r="C21" s="26"/>
      <c r="D21" s="14"/>
      <c r="E21" s="14"/>
      <c r="F21" s="14"/>
      <c r="G21" s="14"/>
    </row>
    <row r="22" spans="1:7" x14ac:dyDescent="0.25">
      <c r="A22" s="31">
        <f t="shared" si="1"/>
        <v>4</v>
      </c>
      <c r="B22" s="13">
        <f t="shared" si="2"/>
        <v>18</v>
      </c>
      <c r="C22" s="26"/>
      <c r="D22" s="14"/>
      <c r="E22" s="14"/>
      <c r="F22" s="14"/>
      <c r="G22" s="14"/>
    </row>
    <row r="23" spans="1:7" x14ac:dyDescent="0.25">
      <c r="A23" s="31">
        <f t="shared" si="1"/>
        <v>4</v>
      </c>
      <c r="B23" s="13">
        <f t="shared" si="2"/>
        <v>19</v>
      </c>
      <c r="C23" s="26"/>
      <c r="D23" s="14"/>
      <c r="E23" s="14"/>
      <c r="F23" s="14"/>
      <c r="G23" s="14"/>
    </row>
    <row r="24" spans="1:7" x14ac:dyDescent="0.25">
      <c r="A24" s="31">
        <f t="shared" si="1"/>
        <v>4</v>
      </c>
      <c r="B24" s="13">
        <f t="shared" si="2"/>
        <v>20</v>
      </c>
      <c r="C24" s="26"/>
      <c r="D24" s="14"/>
      <c r="E24" s="14"/>
      <c r="F24" s="14"/>
      <c r="G24" s="14"/>
    </row>
    <row r="25" spans="1:7" x14ac:dyDescent="0.25">
      <c r="A25" s="40">
        <f t="shared" si="1"/>
        <v>4</v>
      </c>
      <c r="B25" s="37" t="s">
        <v>518</v>
      </c>
      <c r="C25" s="38"/>
      <c r="D25" s="38"/>
      <c r="E25" s="38"/>
      <c r="F25" s="38"/>
      <c r="G25" s="42"/>
    </row>
    <row r="26" spans="1:7" x14ac:dyDescent="0.25">
      <c r="A26" s="31">
        <f t="shared" si="1"/>
        <v>5</v>
      </c>
      <c r="B26" s="13">
        <f t="shared" si="2"/>
        <v>21</v>
      </c>
      <c r="C26" s="26" t="s">
        <v>519</v>
      </c>
      <c r="D26" s="14"/>
      <c r="E26" s="14"/>
      <c r="F26" s="14"/>
      <c r="G26" s="14"/>
    </row>
    <row r="27" spans="1:7" x14ac:dyDescent="0.25">
      <c r="A27" s="31">
        <f t="shared" si="1"/>
        <v>5</v>
      </c>
      <c r="B27" s="13">
        <f t="shared" si="2"/>
        <v>22</v>
      </c>
      <c r="C27" s="26"/>
      <c r="D27" s="14"/>
      <c r="E27" s="14"/>
      <c r="F27" s="14"/>
      <c r="G27" s="14"/>
    </row>
    <row r="28" spans="1:7" x14ac:dyDescent="0.25">
      <c r="A28" s="31">
        <f t="shared" si="1"/>
        <v>5</v>
      </c>
      <c r="B28" s="13">
        <f t="shared" si="2"/>
        <v>23</v>
      </c>
      <c r="C28" s="26"/>
      <c r="D28" s="14"/>
      <c r="E28" s="14"/>
      <c r="F28" s="14"/>
      <c r="G28" s="14"/>
    </row>
    <row r="29" spans="1:7" x14ac:dyDescent="0.25">
      <c r="A29" s="31">
        <f t="shared" si="1"/>
        <v>5</v>
      </c>
      <c r="B29" s="13">
        <f t="shared" si="2"/>
        <v>24</v>
      </c>
      <c r="C29" s="26"/>
      <c r="D29" s="14"/>
      <c r="E29" s="14"/>
      <c r="F29" s="14"/>
      <c r="G29" s="14"/>
    </row>
    <row r="30" spans="1:7" x14ac:dyDescent="0.25">
      <c r="A30" s="31">
        <f t="shared" si="1"/>
        <v>5</v>
      </c>
      <c r="B30" s="13">
        <f t="shared" si="2"/>
        <v>25</v>
      </c>
      <c r="C30" s="26"/>
      <c r="D30" s="14"/>
      <c r="E30" s="14"/>
      <c r="F30" s="14"/>
      <c r="G30" s="14"/>
    </row>
    <row r="31" spans="1:7" x14ac:dyDescent="0.25">
      <c r="A31" s="31">
        <f t="shared" si="1"/>
        <v>5</v>
      </c>
      <c r="B31" s="13">
        <f t="shared" si="2"/>
        <v>26</v>
      </c>
      <c r="C31" s="26"/>
      <c r="D31" s="14"/>
      <c r="E31" s="14"/>
      <c r="F31" s="14"/>
      <c r="G31" s="14"/>
    </row>
    <row r="33" spans="4:4" x14ac:dyDescent="0.25">
      <c r="D33" s="14" t="s">
        <v>81</v>
      </c>
    </row>
    <row r="34" spans="4:4" x14ac:dyDescent="0.25">
      <c r="D34" s="14" t="s">
        <v>399</v>
      </c>
    </row>
    <row r="35" spans="4:4" x14ac:dyDescent="0.25">
      <c r="D35" s="14" t="s">
        <v>400</v>
      </c>
    </row>
    <row r="36" spans="4:4" x14ac:dyDescent="0.25">
      <c r="D36" s="14" t="s">
        <v>431</v>
      </c>
    </row>
  </sheetData>
  <mergeCells count="4">
    <mergeCell ref="B2:G2"/>
    <mergeCell ref="B8:G8"/>
    <mergeCell ref="B18:G18"/>
    <mergeCell ref="B25:G25"/>
  </mergeCells>
  <conditionalFormatting sqref="D1:D24 D26:D1048576">
    <cfRule type="cellIs" dxfId="165" priority="6" operator="equal">
      <formula>"Custom"</formula>
    </cfRule>
    <cfRule type="cellIs" dxfId="164" priority="7" operator="equal">
      <formula>"Vendor"</formula>
    </cfRule>
    <cfRule type="cellIs" dxfId="163" priority="8" operator="equal">
      <formula>"IT\OT"</formula>
    </cfRule>
    <cfRule type="cellIs" dxfId="162" priority="9" operator="equal">
      <formula>"Site"</formula>
    </cfRule>
  </conditionalFormatting>
  <conditionalFormatting sqref="D1:D24 D26:D1048576">
    <cfRule type="cellIs" dxfId="161" priority="1" operator="equal">
      <formula>""</formula>
    </cfRule>
    <cfRule type="cellIs" dxfId="160" priority="2" operator="equal">
      <formula>"Custom"</formula>
    </cfRule>
    <cfRule type="cellIs" dxfId="159" priority="3" operator="equal">
      <formula>"Vendor"</formula>
    </cfRule>
    <cfRule type="cellIs" dxfId="158" priority="4" operator="equal">
      <formula>"IT\OT"</formula>
    </cfRule>
    <cfRule type="cellIs" dxfId="157" priority="5" operator="equal">
      <formula>"Site"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4138-7E51-4619-8935-582C3D12EBE2}">
  <dimension ref="A1:M107"/>
  <sheetViews>
    <sheetView topLeftCell="A54" zoomScale="91" zoomScaleNormal="91" workbookViewId="0">
      <selection activeCell="I9" sqref="I9"/>
    </sheetView>
  </sheetViews>
  <sheetFormatPr defaultRowHeight="15" x14ac:dyDescent="0.25"/>
  <cols>
    <col min="1" max="1" width="4.140625" customWidth="1"/>
    <col min="2" max="2" width="7.5703125" customWidth="1"/>
    <col min="3" max="3" width="77" bestFit="1" customWidth="1"/>
    <col min="4" max="4" width="11.85546875" customWidth="1"/>
    <col min="7" max="7" width="36.85546875" customWidth="1"/>
    <col min="8" max="8" width="8" customWidth="1"/>
    <col min="9" max="9" width="95.140625" customWidth="1"/>
    <col min="10" max="10" width="12" customWidth="1"/>
    <col min="11" max="11" width="8.7109375" customWidth="1"/>
    <col min="12" max="12" width="12.5703125" customWidth="1"/>
    <col min="13" max="13" width="28.42578125" customWidth="1"/>
  </cols>
  <sheetData>
    <row r="1" spans="1:13" ht="30" x14ac:dyDescent="0.25">
      <c r="A1" s="12" t="s">
        <v>358</v>
      </c>
      <c r="B1" s="12" t="s">
        <v>73</v>
      </c>
      <c r="C1" s="12" t="s">
        <v>74</v>
      </c>
      <c r="D1" s="12" t="s">
        <v>75</v>
      </c>
      <c r="E1" s="12" t="s">
        <v>76</v>
      </c>
      <c r="F1" s="12" t="s">
        <v>77</v>
      </c>
      <c r="G1" s="12" t="s">
        <v>78</v>
      </c>
      <c r="H1" s="12" t="s">
        <v>73</v>
      </c>
      <c r="I1" s="12" t="s">
        <v>74</v>
      </c>
      <c r="J1" s="12" t="s">
        <v>75</v>
      </c>
      <c r="K1" s="12" t="s">
        <v>76</v>
      </c>
      <c r="L1" s="12" t="s">
        <v>77</v>
      </c>
      <c r="M1" s="12" t="s">
        <v>78</v>
      </c>
    </row>
    <row r="2" spans="1:13" x14ac:dyDescent="0.25">
      <c r="A2" s="40">
        <v>1</v>
      </c>
      <c r="B2" s="29" t="s">
        <v>359</v>
      </c>
      <c r="C2" s="19"/>
      <c r="D2" s="19"/>
      <c r="E2" s="19"/>
      <c r="F2" s="19"/>
      <c r="G2" s="19"/>
      <c r="H2" s="18" t="s">
        <v>79</v>
      </c>
      <c r="I2" s="19"/>
      <c r="J2" s="19"/>
      <c r="K2" s="19"/>
      <c r="L2" s="19"/>
      <c r="M2" s="19"/>
    </row>
    <row r="3" spans="1:13" x14ac:dyDescent="0.25">
      <c r="A3" s="31">
        <f>IF(ISTEXT(B2), A2+1, A2)</f>
        <v>2</v>
      </c>
      <c r="B3" s="13">
        <v>1</v>
      </c>
      <c r="C3" s="14"/>
      <c r="D3" s="14" t="s">
        <v>81</v>
      </c>
      <c r="E3" s="14"/>
      <c r="F3" s="14"/>
      <c r="G3" s="14"/>
      <c r="H3" s="13">
        <v>1</v>
      </c>
      <c r="I3" s="14" t="s">
        <v>80</v>
      </c>
      <c r="J3" s="15" t="s">
        <v>81</v>
      </c>
      <c r="K3" s="14"/>
      <c r="L3" s="14"/>
      <c r="M3" s="14"/>
    </row>
    <row r="4" spans="1:13" x14ac:dyDescent="0.25">
      <c r="A4" s="31">
        <f t="shared" ref="A4:A67" si="0">IF(ISTEXT(B3), A3+1, A3)</f>
        <v>2</v>
      </c>
      <c r="B4" s="13">
        <f t="shared" ref="B4:B7" si="1">IF(ISTEXT(B3), B2+1, B3+1)</f>
        <v>2</v>
      </c>
      <c r="C4" s="14"/>
      <c r="D4" s="14"/>
      <c r="E4" s="14"/>
      <c r="F4" s="14"/>
      <c r="G4" s="14"/>
      <c r="H4" s="13">
        <v>2</v>
      </c>
      <c r="I4" s="14" t="s">
        <v>82</v>
      </c>
      <c r="J4" s="15" t="s">
        <v>81</v>
      </c>
      <c r="K4" s="14"/>
      <c r="L4" s="14"/>
      <c r="M4" s="14" t="s">
        <v>83</v>
      </c>
    </row>
    <row r="5" spans="1:13" x14ac:dyDescent="0.25">
      <c r="A5" s="31">
        <f t="shared" si="0"/>
        <v>2</v>
      </c>
      <c r="B5" s="13">
        <f t="shared" si="1"/>
        <v>3</v>
      </c>
      <c r="C5" s="14"/>
      <c r="D5" s="14"/>
      <c r="E5" s="14"/>
      <c r="F5" s="14"/>
      <c r="G5" s="14"/>
      <c r="H5" s="13">
        <v>3</v>
      </c>
      <c r="I5" s="14" t="s">
        <v>84</v>
      </c>
      <c r="J5" s="16" t="s">
        <v>85</v>
      </c>
      <c r="K5" s="14"/>
      <c r="L5" s="14"/>
      <c r="M5" s="14" t="s">
        <v>86</v>
      </c>
    </row>
    <row r="6" spans="1:13" x14ac:dyDescent="0.25">
      <c r="A6" s="31">
        <f t="shared" si="0"/>
        <v>2</v>
      </c>
      <c r="B6" s="13">
        <f t="shared" si="1"/>
        <v>4</v>
      </c>
      <c r="C6" s="14"/>
      <c r="D6" s="14"/>
      <c r="E6" s="14"/>
      <c r="F6" s="14"/>
      <c r="G6" s="14"/>
      <c r="H6" s="13">
        <v>4</v>
      </c>
      <c r="I6" s="14" t="s">
        <v>87</v>
      </c>
      <c r="J6" s="15" t="s">
        <v>81</v>
      </c>
      <c r="K6" s="14"/>
      <c r="L6" s="14"/>
      <c r="M6" s="14" t="s">
        <v>86</v>
      </c>
    </row>
    <row r="7" spans="1:13" x14ac:dyDescent="0.25">
      <c r="A7" s="31">
        <f t="shared" si="0"/>
        <v>2</v>
      </c>
      <c r="B7" s="13">
        <f t="shared" si="1"/>
        <v>5</v>
      </c>
      <c r="C7" s="14"/>
      <c r="D7" s="14"/>
      <c r="E7" s="14"/>
      <c r="F7" s="14"/>
      <c r="G7" s="14"/>
      <c r="H7" s="13">
        <v>5</v>
      </c>
      <c r="I7" s="14" t="s">
        <v>88</v>
      </c>
      <c r="J7" s="15" t="s">
        <v>81</v>
      </c>
      <c r="K7" s="14"/>
      <c r="L7" s="14"/>
      <c r="M7" s="14" t="s">
        <v>83</v>
      </c>
    </row>
    <row r="8" spans="1:13" x14ac:dyDescent="0.25">
      <c r="A8" s="40">
        <f t="shared" si="0"/>
        <v>2</v>
      </c>
      <c r="B8" s="29" t="s">
        <v>360</v>
      </c>
      <c r="C8" s="19"/>
      <c r="D8" s="19"/>
      <c r="E8" s="19"/>
      <c r="F8" s="19"/>
      <c r="G8" s="19"/>
      <c r="H8" s="18" t="s">
        <v>89</v>
      </c>
      <c r="I8" s="19"/>
      <c r="J8" s="19"/>
      <c r="K8" s="19"/>
      <c r="L8" s="19"/>
      <c r="M8" s="19"/>
    </row>
    <row r="9" spans="1:13" x14ac:dyDescent="0.25">
      <c r="A9" s="31">
        <f t="shared" si="0"/>
        <v>3</v>
      </c>
      <c r="B9" s="30">
        <f>IF(ISTEXT(B8), B7+1, B8+1)</f>
        <v>6</v>
      </c>
      <c r="C9" s="26" t="s">
        <v>296</v>
      </c>
      <c r="D9" s="14" t="s">
        <v>81</v>
      </c>
      <c r="E9" s="14"/>
      <c r="F9" s="14"/>
      <c r="G9" s="14"/>
      <c r="H9" s="13">
        <v>6</v>
      </c>
      <c r="I9" s="26" t="s">
        <v>90</v>
      </c>
      <c r="J9" s="15" t="s">
        <v>81</v>
      </c>
      <c r="K9" s="14"/>
      <c r="L9" s="14"/>
      <c r="M9" s="14" t="s">
        <v>86</v>
      </c>
    </row>
    <row r="10" spans="1:13" x14ac:dyDescent="0.25">
      <c r="A10" s="31">
        <f t="shared" si="0"/>
        <v>3</v>
      </c>
      <c r="B10" s="30">
        <f t="shared" ref="B10:B14" si="2">IF(ISTEXT(B9), B8+1, B9+1)</f>
        <v>7</v>
      </c>
      <c r="C10" s="26" t="s">
        <v>278</v>
      </c>
      <c r="D10" s="14" t="s">
        <v>81</v>
      </c>
      <c r="E10" s="14"/>
      <c r="F10" s="14"/>
      <c r="G10" s="14"/>
      <c r="H10" s="13">
        <v>7</v>
      </c>
      <c r="I10" s="14" t="s">
        <v>91</v>
      </c>
      <c r="J10" s="15" t="s">
        <v>81</v>
      </c>
      <c r="K10" s="14"/>
      <c r="L10" s="14"/>
      <c r="M10" s="14" t="s">
        <v>92</v>
      </c>
    </row>
    <row r="11" spans="1:13" x14ac:dyDescent="0.25">
      <c r="A11" s="31">
        <f t="shared" si="0"/>
        <v>3</v>
      </c>
      <c r="B11" s="30">
        <f t="shared" si="2"/>
        <v>8</v>
      </c>
      <c r="C11" s="26" t="s">
        <v>279</v>
      </c>
      <c r="D11" s="14" t="s">
        <v>81</v>
      </c>
      <c r="E11" s="14"/>
      <c r="F11" s="14"/>
      <c r="G11" s="14"/>
      <c r="H11" s="13">
        <v>8</v>
      </c>
      <c r="I11" s="14" t="s">
        <v>93</v>
      </c>
      <c r="J11" s="17" t="s">
        <v>94</v>
      </c>
      <c r="K11" s="14"/>
      <c r="L11" s="14"/>
      <c r="M11" s="14" t="s">
        <v>86</v>
      </c>
    </row>
    <row r="12" spans="1:13" x14ac:dyDescent="0.25">
      <c r="A12" s="31">
        <f t="shared" si="0"/>
        <v>3</v>
      </c>
      <c r="B12" s="30">
        <f t="shared" si="2"/>
        <v>9</v>
      </c>
      <c r="C12" s="26" t="s">
        <v>280</v>
      </c>
      <c r="D12" s="14" t="s">
        <v>431</v>
      </c>
      <c r="E12" s="14"/>
      <c r="F12" s="14"/>
      <c r="G12" s="14"/>
      <c r="H12" s="13">
        <v>9</v>
      </c>
      <c r="I12" s="14" t="s">
        <v>95</v>
      </c>
      <c r="J12" s="15" t="s">
        <v>81</v>
      </c>
      <c r="K12" s="14"/>
      <c r="L12" s="14"/>
      <c r="M12" s="14" t="s">
        <v>96</v>
      </c>
    </row>
    <row r="13" spans="1:13" x14ac:dyDescent="0.25">
      <c r="A13" s="31">
        <f t="shared" si="0"/>
        <v>3</v>
      </c>
      <c r="B13" s="30">
        <f t="shared" si="2"/>
        <v>10</v>
      </c>
      <c r="C13" s="26" t="s">
        <v>314</v>
      </c>
      <c r="D13" s="14"/>
      <c r="E13" s="14"/>
      <c r="F13" s="14"/>
      <c r="G13" s="14"/>
      <c r="H13" s="13">
        <v>10</v>
      </c>
      <c r="I13" s="14" t="s">
        <v>97</v>
      </c>
      <c r="J13" s="15" t="s">
        <v>81</v>
      </c>
      <c r="K13" s="14"/>
      <c r="L13" s="14"/>
      <c r="M13" s="14" t="s">
        <v>98</v>
      </c>
    </row>
    <row r="14" spans="1:13" x14ac:dyDescent="0.25">
      <c r="A14" s="31">
        <f t="shared" si="0"/>
        <v>3</v>
      </c>
      <c r="B14" s="30">
        <f t="shared" si="2"/>
        <v>11</v>
      </c>
      <c r="C14" s="26"/>
      <c r="D14" s="14"/>
      <c r="E14" s="14"/>
      <c r="F14" s="14"/>
      <c r="G14" s="14"/>
      <c r="H14" s="13">
        <v>11</v>
      </c>
      <c r="I14" s="14" t="s">
        <v>99</v>
      </c>
      <c r="J14" s="15" t="s">
        <v>81</v>
      </c>
      <c r="K14" s="14"/>
      <c r="L14" s="14"/>
      <c r="M14" s="14" t="s">
        <v>98</v>
      </c>
    </row>
    <row r="15" spans="1:13" x14ac:dyDescent="0.25">
      <c r="A15" s="40">
        <f t="shared" si="0"/>
        <v>3</v>
      </c>
      <c r="B15" s="29" t="s">
        <v>361</v>
      </c>
      <c r="C15" s="19"/>
      <c r="D15" s="19"/>
      <c r="E15" s="19"/>
      <c r="F15" s="19"/>
      <c r="G15" s="19"/>
      <c r="H15" s="18" t="s">
        <v>100</v>
      </c>
      <c r="I15" s="19"/>
      <c r="J15" s="19"/>
      <c r="K15" s="19"/>
      <c r="L15" s="19"/>
      <c r="M15" s="19"/>
    </row>
    <row r="16" spans="1:13" x14ac:dyDescent="0.25">
      <c r="A16" s="31">
        <f t="shared" si="0"/>
        <v>4</v>
      </c>
      <c r="B16" s="13">
        <f t="shared" ref="B16:B21" si="3">IF(ISTEXT(B15), B14+1, B15+1)</f>
        <v>12</v>
      </c>
      <c r="C16" s="26" t="s">
        <v>272</v>
      </c>
      <c r="D16" s="14" t="s">
        <v>431</v>
      </c>
      <c r="E16" s="14"/>
      <c r="F16" s="14"/>
      <c r="G16" s="14"/>
      <c r="H16" s="13">
        <v>12</v>
      </c>
      <c r="I16" s="14" t="s">
        <v>101</v>
      </c>
      <c r="J16" s="15" t="s">
        <v>81</v>
      </c>
      <c r="K16" s="14"/>
      <c r="L16" s="14"/>
      <c r="M16" s="14" t="s">
        <v>102</v>
      </c>
    </row>
    <row r="17" spans="1:13" x14ac:dyDescent="0.25">
      <c r="A17" s="31">
        <f t="shared" si="0"/>
        <v>4</v>
      </c>
      <c r="B17" s="13">
        <f t="shared" si="3"/>
        <v>13</v>
      </c>
      <c r="C17" s="26" t="s">
        <v>273</v>
      </c>
      <c r="D17" s="14" t="s">
        <v>431</v>
      </c>
      <c r="E17" s="14"/>
      <c r="F17" s="14"/>
      <c r="G17" s="14"/>
      <c r="H17" s="13">
        <v>13</v>
      </c>
      <c r="I17" s="14" t="s">
        <v>103</v>
      </c>
      <c r="J17" s="15" t="s">
        <v>81</v>
      </c>
      <c r="K17" s="14"/>
      <c r="L17" s="14"/>
      <c r="M17" s="14" t="s">
        <v>102</v>
      </c>
    </row>
    <row r="18" spans="1:13" x14ac:dyDescent="0.25">
      <c r="A18" s="31">
        <f t="shared" si="0"/>
        <v>4</v>
      </c>
      <c r="B18" s="13">
        <f t="shared" si="3"/>
        <v>14</v>
      </c>
      <c r="C18" s="26" t="s">
        <v>274</v>
      </c>
      <c r="D18" s="14" t="s">
        <v>431</v>
      </c>
      <c r="E18" s="14"/>
      <c r="F18" s="14"/>
      <c r="G18" s="14"/>
      <c r="H18" s="13">
        <v>14</v>
      </c>
      <c r="I18" s="14" t="s">
        <v>104</v>
      </c>
      <c r="J18" s="15" t="s">
        <v>81</v>
      </c>
      <c r="K18" s="14"/>
      <c r="L18" s="14"/>
      <c r="M18" s="14" t="s">
        <v>102</v>
      </c>
    </row>
    <row r="19" spans="1:13" x14ac:dyDescent="0.25">
      <c r="A19" s="31">
        <f t="shared" si="0"/>
        <v>4</v>
      </c>
      <c r="B19" s="13">
        <f t="shared" si="3"/>
        <v>15</v>
      </c>
      <c r="C19" s="26" t="s">
        <v>275</v>
      </c>
      <c r="D19" s="14" t="s">
        <v>431</v>
      </c>
      <c r="E19" s="14"/>
      <c r="F19" s="14"/>
      <c r="G19" s="14"/>
      <c r="H19" s="13">
        <v>15</v>
      </c>
      <c r="I19" s="14" t="s">
        <v>105</v>
      </c>
      <c r="J19" s="15" t="s">
        <v>81</v>
      </c>
      <c r="K19" s="14"/>
      <c r="L19" s="14"/>
      <c r="M19" s="14" t="s">
        <v>102</v>
      </c>
    </row>
    <row r="20" spans="1:13" x14ac:dyDescent="0.25">
      <c r="A20" s="31">
        <f t="shared" si="0"/>
        <v>4</v>
      </c>
      <c r="B20" s="13">
        <f t="shared" si="3"/>
        <v>16</v>
      </c>
      <c r="C20" s="26" t="s">
        <v>307</v>
      </c>
      <c r="D20" s="14" t="s">
        <v>81</v>
      </c>
      <c r="E20" s="14"/>
      <c r="F20" s="14"/>
      <c r="G20" s="14"/>
      <c r="H20" s="13">
        <v>16</v>
      </c>
      <c r="I20" s="14" t="s">
        <v>106</v>
      </c>
      <c r="J20" s="15" t="s">
        <v>81</v>
      </c>
      <c r="K20" s="14"/>
      <c r="L20" s="14"/>
      <c r="M20" s="14" t="s">
        <v>107</v>
      </c>
    </row>
    <row r="21" spans="1:13" x14ac:dyDescent="0.25">
      <c r="A21" s="31">
        <f t="shared" si="0"/>
        <v>4</v>
      </c>
      <c r="B21" s="13">
        <f t="shared" si="3"/>
        <v>17</v>
      </c>
      <c r="C21" s="26"/>
      <c r="D21" s="14"/>
      <c r="E21" s="14"/>
      <c r="F21" s="14"/>
      <c r="G21" s="14"/>
      <c r="H21" s="13">
        <v>17</v>
      </c>
      <c r="I21" s="14" t="s">
        <v>108</v>
      </c>
      <c r="J21" s="15" t="s">
        <v>81</v>
      </c>
      <c r="K21" s="14"/>
      <c r="L21" s="14"/>
      <c r="M21" s="14" t="s">
        <v>107</v>
      </c>
    </row>
    <row r="22" spans="1:13" x14ac:dyDescent="0.25">
      <c r="A22" s="40">
        <f t="shared" si="0"/>
        <v>4</v>
      </c>
      <c r="B22" s="37" t="s">
        <v>367</v>
      </c>
      <c r="C22" s="38"/>
      <c r="D22" s="38"/>
      <c r="E22" s="38"/>
      <c r="F22" s="38"/>
      <c r="G22" s="42"/>
      <c r="H22" s="18" t="s">
        <v>109</v>
      </c>
      <c r="I22" s="19"/>
      <c r="J22" s="19"/>
      <c r="K22" s="19"/>
      <c r="L22" s="19"/>
      <c r="M22" s="19"/>
    </row>
    <row r="23" spans="1:13" x14ac:dyDescent="0.25">
      <c r="A23" s="31">
        <f t="shared" si="0"/>
        <v>5</v>
      </c>
      <c r="B23" s="13">
        <f t="shared" ref="B23:B28" si="4">IF(ISTEXT(B22), B21+1, B22+1)</f>
        <v>18</v>
      </c>
      <c r="C23" s="26" t="s">
        <v>269</v>
      </c>
      <c r="D23" s="14" t="s">
        <v>81</v>
      </c>
      <c r="E23" s="14"/>
      <c r="F23" s="14"/>
      <c r="G23" s="14"/>
      <c r="H23" s="13">
        <v>18</v>
      </c>
      <c r="I23" s="14" t="s">
        <v>110</v>
      </c>
      <c r="J23" s="17" t="s">
        <v>94</v>
      </c>
      <c r="K23" s="14"/>
      <c r="L23" s="14"/>
      <c r="M23" s="14" t="s">
        <v>111</v>
      </c>
    </row>
    <row r="24" spans="1:13" x14ac:dyDescent="0.25">
      <c r="A24" s="31">
        <f t="shared" si="0"/>
        <v>5</v>
      </c>
      <c r="B24" s="13">
        <f t="shared" si="4"/>
        <v>19</v>
      </c>
      <c r="C24" s="26" t="s">
        <v>270</v>
      </c>
      <c r="D24" s="14" t="s">
        <v>81</v>
      </c>
      <c r="E24" s="14"/>
      <c r="F24" s="14"/>
      <c r="G24" s="14"/>
      <c r="H24" s="13">
        <v>19</v>
      </c>
      <c r="I24" s="14" t="s">
        <v>112</v>
      </c>
      <c r="J24" s="15" t="s">
        <v>81</v>
      </c>
      <c r="K24" s="14"/>
      <c r="L24" s="14"/>
      <c r="M24" s="14" t="s">
        <v>113</v>
      </c>
    </row>
    <row r="25" spans="1:13" x14ac:dyDescent="0.25">
      <c r="A25" s="31">
        <f t="shared" si="0"/>
        <v>5</v>
      </c>
      <c r="B25" s="13">
        <f t="shared" si="4"/>
        <v>20</v>
      </c>
      <c r="C25" s="26" t="s">
        <v>281</v>
      </c>
      <c r="D25" s="14" t="s">
        <v>81</v>
      </c>
      <c r="E25" s="14"/>
      <c r="F25" s="14"/>
      <c r="G25" s="14"/>
      <c r="H25" s="13">
        <v>20</v>
      </c>
      <c r="I25" s="14" t="s">
        <v>114</v>
      </c>
      <c r="J25" s="15" t="s">
        <v>81</v>
      </c>
      <c r="K25" s="14"/>
      <c r="L25" s="14"/>
      <c r="M25" s="14" t="s">
        <v>115</v>
      </c>
    </row>
    <row r="26" spans="1:13" x14ac:dyDescent="0.25">
      <c r="A26" s="31">
        <f t="shared" si="0"/>
        <v>5</v>
      </c>
      <c r="B26" s="13">
        <f t="shared" si="4"/>
        <v>21</v>
      </c>
      <c r="C26" s="26" t="s">
        <v>286</v>
      </c>
      <c r="D26" s="14" t="s">
        <v>81</v>
      </c>
      <c r="E26" s="14"/>
      <c r="F26" s="14"/>
      <c r="G26" s="14"/>
      <c r="H26" s="13">
        <v>21</v>
      </c>
      <c r="I26" s="14" t="s">
        <v>116</v>
      </c>
      <c r="J26" s="17" t="s">
        <v>94</v>
      </c>
      <c r="K26" s="14"/>
      <c r="L26" s="14"/>
      <c r="M26" s="14" t="s">
        <v>117</v>
      </c>
    </row>
    <row r="27" spans="1:13" x14ac:dyDescent="0.25">
      <c r="A27" s="31">
        <f t="shared" si="0"/>
        <v>5</v>
      </c>
      <c r="B27" s="13">
        <f t="shared" si="4"/>
        <v>22</v>
      </c>
      <c r="C27" s="26" t="s">
        <v>271</v>
      </c>
      <c r="D27" s="14" t="s">
        <v>81</v>
      </c>
      <c r="E27" s="14"/>
      <c r="F27" s="14"/>
      <c r="G27" s="14"/>
      <c r="H27" s="13">
        <v>22</v>
      </c>
      <c r="I27" s="14" t="s">
        <v>118</v>
      </c>
      <c r="J27" s="17" t="s">
        <v>94</v>
      </c>
      <c r="K27" s="14"/>
      <c r="L27" s="14"/>
      <c r="M27" s="14" t="s">
        <v>119</v>
      </c>
    </row>
    <row r="28" spans="1:13" x14ac:dyDescent="0.25">
      <c r="A28" s="31">
        <f t="shared" si="0"/>
        <v>5</v>
      </c>
      <c r="B28" s="13">
        <f t="shared" si="4"/>
        <v>23</v>
      </c>
      <c r="C28" s="26" t="s">
        <v>289</v>
      </c>
      <c r="D28" s="14" t="s">
        <v>81</v>
      </c>
      <c r="E28" s="14"/>
      <c r="F28" s="14"/>
      <c r="G28" s="14"/>
      <c r="H28" s="13">
        <v>23</v>
      </c>
      <c r="I28" s="14" t="s">
        <v>120</v>
      </c>
      <c r="J28" s="15" t="s">
        <v>81</v>
      </c>
      <c r="K28" s="14"/>
      <c r="L28" s="14"/>
      <c r="M28" s="14" t="s">
        <v>121</v>
      </c>
    </row>
    <row r="29" spans="1:13" x14ac:dyDescent="0.25">
      <c r="A29" s="40">
        <f t="shared" si="0"/>
        <v>5</v>
      </c>
      <c r="B29" s="28" t="s">
        <v>368</v>
      </c>
      <c r="C29" s="21"/>
      <c r="D29" s="21"/>
      <c r="E29" s="21"/>
      <c r="F29" s="24"/>
      <c r="G29" s="25"/>
    </row>
    <row r="30" spans="1:13" x14ac:dyDescent="0.25">
      <c r="A30" s="31">
        <f t="shared" si="0"/>
        <v>6</v>
      </c>
      <c r="B30" s="13">
        <f t="shared" ref="B30:B42" si="5">IF(ISTEXT(B29), B28+1, B29+1)</f>
        <v>24</v>
      </c>
      <c r="C30" s="26" t="s">
        <v>342</v>
      </c>
      <c r="D30" s="14" t="s">
        <v>431</v>
      </c>
      <c r="E30" s="14"/>
      <c r="F30" s="14"/>
      <c r="G30" s="14"/>
    </row>
    <row r="31" spans="1:13" x14ac:dyDescent="0.25">
      <c r="A31" s="31">
        <f t="shared" si="0"/>
        <v>6</v>
      </c>
      <c r="B31" s="13">
        <f t="shared" si="5"/>
        <v>25</v>
      </c>
      <c r="C31" s="26" t="s">
        <v>276</v>
      </c>
      <c r="D31" s="14"/>
      <c r="E31" s="14"/>
      <c r="F31" s="14"/>
      <c r="G31" s="14"/>
    </row>
    <row r="32" spans="1:13" x14ac:dyDescent="0.25">
      <c r="A32" s="31">
        <f t="shared" si="0"/>
        <v>6</v>
      </c>
      <c r="B32" s="13">
        <f t="shared" si="5"/>
        <v>26</v>
      </c>
      <c r="C32" s="26" t="s">
        <v>287</v>
      </c>
      <c r="D32" s="14"/>
      <c r="E32" s="14"/>
      <c r="F32" s="14"/>
      <c r="G32" s="14"/>
    </row>
    <row r="33" spans="1:7" x14ac:dyDescent="0.25">
      <c r="A33" s="31">
        <f t="shared" si="0"/>
        <v>6</v>
      </c>
      <c r="B33" s="13">
        <f t="shared" si="5"/>
        <v>27</v>
      </c>
      <c r="C33" s="26" t="s">
        <v>288</v>
      </c>
      <c r="D33" s="14"/>
      <c r="E33" s="14"/>
      <c r="F33" s="14"/>
      <c r="G33" s="14"/>
    </row>
    <row r="34" spans="1:7" x14ac:dyDescent="0.25">
      <c r="A34" s="31">
        <f t="shared" si="0"/>
        <v>6</v>
      </c>
      <c r="B34" s="13">
        <f t="shared" si="5"/>
        <v>28</v>
      </c>
      <c r="C34" s="26" t="s">
        <v>290</v>
      </c>
      <c r="D34" s="14"/>
      <c r="E34" s="14"/>
      <c r="F34" s="14"/>
      <c r="G34" s="14"/>
    </row>
    <row r="35" spans="1:7" x14ac:dyDescent="0.25">
      <c r="A35" s="31">
        <f t="shared" si="0"/>
        <v>6</v>
      </c>
      <c r="B35" s="13">
        <f t="shared" si="5"/>
        <v>29</v>
      </c>
      <c r="C35" s="26" t="s">
        <v>283</v>
      </c>
      <c r="D35" s="14"/>
      <c r="E35" s="14"/>
      <c r="F35" s="14"/>
      <c r="G35" s="14"/>
    </row>
    <row r="36" spans="1:7" x14ac:dyDescent="0.25">
      <c r="A36" s="31">
        <f t="shared" si="0"/>
        <v>6</v>
      </c>
      <c r="B36" s="13">
        <f t="shared" si="5"/>
        <v>30</v>
      </c>
      <c r="C36" s="26" t="s">
        <v>291</v>
      </c>
      <c r="D36" s="14"/>
      <c r="E36" s="14"/>
      <c r="F36" s="14"/>
      <c r="G36" s="14"/>
    </row>
    <row r="37" spans="1:7" x14ac:dyDescent="0.25">
      <c r="A37" s="31">
        <f t="shared" si="0"/>
        <v>6</v>
      </c>
      <c r="B37" s="13">
        <f t="shared" si="5"/>
        <v>31</v>
      </c>
      <c r="C37" s="26" t="s">
        <v>320</v>
      </c>
      <c r="D37" s="14"/>
      <c r="E37" s="14"/>
      <c r="F37" s="14"/>
      <c r="G37" s="14"/>
    </row>
    <row r="38" spans="1:7" x14ac:dyDescent="0.25">
      <c r="A38" s="31">
        <f t="shared" si="0"/>
        <v>6</v>
      </c>
      <c r="B38" s="13">
        <f t="shared" si="5"/>
        <v>32</v>
      </c>
      <c r="C38" s="26" t="s">
        <v>321</v>
      </c>
      <c r="D38" s="14"/>
      <c r="E38" s="14"/>
      <c r="F38" s="14"/>
      <c r="G38" s="14"/>
    </row>
    <row r="39" spans="1:7" x14ac:dyDescent="0.25">
      <c r="A39" s="31">
        <f t="shared" si="0"/>
        <v>6</v>
      </c>
      <c r="B39" s="13">
        <f t="shared" si="5"/>
        <v>33</v>
      </c>
      <c r="C39" s="26" t="s">
        <v>322</v>
      </c>
      <c r="D39" s="14"/>
      <c r="E39" s="14"/>
      <c r="F39" s="14"/>
      <c r="G39" s="14"/>
    </row>
    <row r="40" spans="1:7" x14ac:dyDescent="0.25">
      <c r="A40" s="31">
        <f t="shared" si="0"/>
        <v>6</v>
      </c>
      <c r="B40" s="13">
        <f t="shared" si="5"/>
        <v>34</v>
      </c>
      <c r="C40" s="26" t="s">
        <v>341</v>
      </c>
      <c r="D40" s="14"/>
      <c r="E40" s="14"/>
      <c r="F40" s="14"/>
      <c r="G40" s="14"/>
    </row>
    <row r="41" spans="1:7" x14ac:dyDescent="0.25">
      <c r="A41" s="31">
        <f t="shared" si="0"/>
        <v>6</v>
      </c>
      <c r="B41" s="13">
        <f t="shared" si="5"/>
        <v>35</v>
      </c>
      <c r="C41" s="26" t="s">
        <v>355</v>
      </c>
      <c r="D41" s="14"/>
      <c r="E41" s="14"/>
      <c r="F41" s="14"/>
      <c r="G41" s="14"/>
    </row>
    <row r="42" spans="1:7" x14ac:dyDescent="0.25">
      <c r="A42" s="31">
        <f t="shared" si="0"/>
        <v>6</v>
      </c>
      <c r="B42" s="13">
        <f t="shared" si="5"/>
        <v>36</v>
      </c>
      <c r="C42" s="50" t="s">
        <v>343</v>
      </c>
      <c r="D42" s="14"/>
      <c r="E42" s="14"/>
      <c r="F42" s="14"/>
      <c r="G42" s="14"/>
    </row>
    <row r="43" spans="1:7" x14ac:dyDescent="0.25">
      <c r="A43" s="40">
        <f t="shared" si="0"/>
        <v>6</v>
      </c>
      <c r="B43" s="37" t="s">
        <v>369</v>
      </c>
      <c r="C43" s="38"/>
      <c r="D43" s="38"/>
      <c r="E43" s="38"/>
      <c r="F43" s="38"/>
      <c r="G43" s="38"/>
    </row>
    <row r="44" spans="1:7" x14ac:dyDescent="0.25">
      <c r="A44" s="31">
        <f t="shared" si="0"/>
        <v>7</v>
      </c>
      <c r="B44" s="13">
        <f>IF(ISTEXT(B43), B42+1, B43+1)</f>
        <v>37</v>
      </c>
      <c r="C44" s="26" t="s">
        <v>351</v>
      </c>
      <c r="D44" s="14"/>
      <c r="E44" s="14"/>
      <c r="F44" s="14"/>
      <c r="G44" s="14"/>
    </row>
    <row r="45" spans="1:7" x14ac:dyDescent="0.25">
      <c r="A45" s="40">
        <f t="shared" si="0"/>
        <v>7</v>
      </c>
      <c r="B45" s="37" t="s">
        <v>370</v>
      </c>
      <c r="C45" s="38"/>
      <c r="D45" s="38"/>
      <c r="E45" s="38"/>
      <c r="F45" s="38"/>
      <c r="G45" s="38"/>
    </row>
    <row r="46" spans="1:7" x14ac:dyDescent="0.25">
      <c r="A46" s="31">
        <f t="shared" si="0"/>
        <v>8</v>
      </c>
      <c r="B46" s="13">
        <f>IF(ISTEXT(B45), B44+1, B45+1)</f>
        <v>38</v>
      </c>
      <c r="C46" s="26" t="s">
        <v>352</v>
      </c>
      <c r="D46" s="14" t="s">
        <v>81</v>
      </c>
      <c r="E46" s="14"/>
      <c r="F46" s="14"/>
      <c r="G46" s="14"/>
    </row>
    <row r="47" spans="1:7" x14ac:dyDescent="0.25">
      <c r="A47" s="40">
        <f t="shared" si="0"/>
        <v>8</v>
      </c>
      <c r="B47" s="37" t="s">
        <v>371</v>
      </c>
      <c r="C47" s="38"/>
      <c r="D47" s="38"/>
      <c r="E47" s="38"/>
      <c r="F47" s="38"/>
      <c r="G47" s="38"/>
    </row>
    <row r="48" spans="1:7" x14ac:dyDescent="0.25">
      <c r="A48" s="31">
        <f t="shared" si="0"/>
        <v>9</v>
      </c>
      <c r="B48" s="13">
        <f t="shared" ref="B48:B55" si="6">IF(ISTEXT(B47), B46+1, B47+1)</f>
        <v>39</v>
      </c>
      <c r="C48" s="26" t="s">
        <v>298</v>
      </c>
      <c r="D48" s="14"/>
      <c r="E48" s="14"/>
      <c r="F48" s="14"/>
      <c r="G48" s="14"/>
    </row>
    <row r="49" spans="1:7" x14ac:dyDescent="0.25">
      <c r="A49" s="31">
        <f t="shared" si="0"/>
        <v>9</v>
      </c>
      <c r="B49" s="13">
        <f t="shared" si="6"/>
        <v>40</v>
      </c>
      <c r="C49" s="26" t="s">
        <v>302</v>
      </c>
      <c r="D49" s="14"/>
      <c r="E49" s="14"/>
      <c r="F49" s="14"/>
      <c r="G49" s="14"/>
    </row>
    <row r="50" spans="1:7" x14ac:dyDescent="0.25">
      <c r="A50" s="31">
        <f t="shared" si="0"/>
        <v>9</v>
      </c>
      <c r="B50" s="13">
        <f t="shared" si="6"/>
        <v>41</v>
      </c>
      <c r="C50" s="26" t="s">
        <v>303</v>
      </c>
      <c r="D50" s="14"/>
      <c r="E50" s="14"/>
      <c r="F50" s="14"/>
      <c r="G50" s="14"/>
    </row>
    <row r="51" spans="1:7" x14ac:dyDescent="0.25">
      <c r="A51" s="31">
        <f t="shared" si="0"/>
        <v>9</v>
      </c>
      <c r="B51" s="13">
        <f t="shared" si="6"/>
        <v>42</v>
      </c>
      <c r="C51" s="26" t="s">
        <v>299</v>
      </c>
      <c r="D51" s="14"/>
      <c r="E51" s="14"/>
      <c r="F51" s="14"/>
      <c r="G51" s="14"/>
    </row>
    <row r="52" spans="1:7" x14ac:dyDescent="0.25">
      <c r="A52" s="31">
        <f t="shared" si="0"/>
        <v>9</v>
      </c>
      <c r="B52" s="13">
        <f t="shared" si="6"/>
        <v>43</v>
      </c>
      <c r="C52" s="26" t="s">
        <v>300</v>
      </c>
      <c r="D52" s="14"/>
      <c r="E52" s="14"/>
      <c r="F52" s="14"/>
      <c r="G52" s="14"/>
    </row>
    <row r="53" spans="1:7" x14ac:dyDescent="0.25">
      <c r="A53" s="31">
        <f t="shared" si="0"/>
        <v>9</v>
      </c>
      <c r="B53" s="13">
        <f t="shared" si="6"/>
        <v>44</v>
      </c>
      <c r="C53" s="26" t="s">
        <v>297</v>
      </c>
      <c r="D53" s="14"/>
      <c r="E53" s="14"/>
      <c r="F53" s="14"/>
      <c r="G53" s="14"/>
    </row>
    <row r="54" spans="1:7" x14ac:dyDescent="0.25">
      <c r="A54" s="31">
        <f t="shared" si="0"/>
        <v>9</v>
      </c>
      <c r="B54" s="13">
        <f t="shared" si="6"/>
        <v>45</v>
      </c>
      <c r="C54" s="26" t="s">
        <v>301</v>
      </c>
      <c r="D54" s="14"/>
      <c r="E54" s="14"/>
      <c r="F54" s="14"/>
      <c r="G54" s="14"/>
    </row>
    <row r="55" spans="1:7" x14ac:dyDescent="0.25">
      <c r="A55" s="31">
        <f t="shared" si="0"/>
        <v>9</v>
      </c>
      <c r="B55" s="13">
        <f t="shared" si="6"/>
        <v>46</v>
      </c>
      <c r="C55" s="26" t="s">
        <v>313</v>
      </c>
      <c r="D55" s="14"/>
      <c r="E55" s="14"/>
      <c r="F55" s="14"/>
      <c r="G55" s="14"/>
    </row>
    <row r="56" spans="1:7" x14ac:dyDescent="0.25">
      <c r="A56" s="40">
        <f>IF(ISTEXT(B55), A55+1, A55)</f>
        <v>9</v>
      </c>
      <c r="B56" s="37" t="s">
        <v>365</v>
      </c>
      <c r="C56" s="38"/>
      <c r="D56" s="38"/>
      <c r="E56" s="38"/>
      <c r="F56" s="38"/>
      <c r="G56" s="38"/>
    </row>
    <row r="57" spans="1:7" x14ac:dyDescent="0.25">
      <c r="A57" s="31">
        <f t="shared" si="0"/>
        <v>10</v>
      </c>
      <c r="B57" s="13">
        <f>IF(ISTEXT(B56), B55+1, B56+1)</f>
        <v>47</v>
      </c>
      <c r="C57" s="26" t="s">
        <v>348</v>
      </c>
      <c r="D57" s="14"/>
      <c r="E57" s="14"/>
      <c r="F57" s="14"/>
      <c r="G57" s="14"/>
    </row>
    <row r="58" spans="1:7" x14ac:dyDescent="0.25">
      <c r="A58" s="40">
        <f t="shared" si="0"/>
        <v>10</v>
      </c>
      <c r="B58" s="37" t="s">
        <v>364</v>
      </c>
      <c r="C58" s="38"/>
      <c r="D58" s="38"/>
      <c r="E58" s="38"/>
      <c r="F58" s="38"/>
      <c r="G58" s="42"/>
    </row>
    <row r="59" spans="1:7" x14ac:dyDescent="0.25">
      <c r="A59" s="31">
        <f t="shared" si="0"/>
        <v>11</v>
      </c>
      <c r="B59" s="13">
        <f t="shared" ref="B59:B72" si="7">IF(ISTEXT(B58), B57+1, B58+1)</f>
        <v>48</v>
      </c>
      <c r="C59" s="26" t="s">
        <v>308</v>
      </c>
      <c r="D59" s="14"/>
      <c r="E59" s="14"/>
      <c r="F59" s="14"/>
      <c r="G59" s="14"/>
    </row>
    <row r="60" spans="1:7" x14ac:dyDescent="0.25">
      <c r="A60" s="31">
        <f t="shared" si="0"/>
        <v>11</v>
      </c>
      <c r="B60" s="13">
        <f t="shared" si="7"/>
        <v>49</v>
      </c>
      <c r="C60" s="26" t="s">
        <v>282</v>
      </c>
      <c r="D60" s="14"/>
      <c r="E60" s="14"/>
      <c r="F60" s="14"/>
      <c r="G60" s="14"/>
    </row>
    <row r="61" spans="1:7" x14ac:dyDescent="0.25">
      <c r="A61" s="31">
        <f t="shared" si="0"/>
        <v>11</v>
      </c>
      <c r="B61" s="13">
        <f t="shared" si="7"/>
        <v>50</v>
      </c>
      <c r="C61" s="26" t="s">
        <v>294</v>
      </c>
      <c r="D61" s="14"/>
      <c r="E61" s="14"/>
      <c r="F61" s="14"/>
      <c r="G61" s="14"/>
    </row>
    <row r="62" spans="1:7" x14ac:dyDescent="0.25">
      <c r="A62" s="31">
        <f t="shared" si="0"/>
        <v>11</v>
      </c>
      <c r="B62" s="13">
        <f t="shared" si="7"/>
        <v>51</v>
      </c>
      <c r="C62" s="26" t="s">
        <v>295</v>
      </c>
      <c r="D62" s="14"/>
      <c r="E62" s="14"/>
      <c r="F62" s="14"/>
      <c r="G62" s="14"/>
    </row>
    <row r="63" spans="1:7" x14ac:dyDescent="0.25">
      <c r="A63" s="31">
        <f t="shared" si="0"/>
        <v>11</v>
      </c>
      <c r="B63" s="13">
        <f t="shared" si="7"/>
        <v>52</v>
      </c>
      <c r="C63" s="26" t="s">
        <v>304</v>
      </c>
      <c r="D63" s="14"/>
      <c r="E63" s="14"/>
      <c r="F63" s="14"/>
      <c r="G63" s="14"/>
    </row>
    <row r="64" spans="1:7" x14ac:dyDescent="0.25">
      <c r="A64" s="31">
        <f t="shared" si="0"/>
        <v>11</v>
      </c>
      <c r="B64" s="13">
        <f t="shared" si="7"/>
        <v>53</v>
      </c>
      <c r="C64" s="26" t="s">
        <v>305</v>
      </c>
      <c r="D64" s="14"/>
      <c r="E64" s="14"/>
      <c r="F64" s="14"/>
      <c r="G64" s="14"/>
    </row>
    <row r="65" spans="1:7" x14ac:dyDescent="0.25">
      <c r="A65" s="31">
        <f t="shared" si="0"/>
        <v>11</v>
      </c>
      <c r="B65" s="13">
        <f t="shared" si="7"/>
        <v>54</v>
      </c>
      <c r="C65" s="26" t="s">
        <v>310</v>
      </c>
      <c r="D65" s="14"/>
      <c r="E65" s="14"/>
      <c r="F65" s="14"/>
      <c r="G65" s="14"/>
    </row>
    <row r="66" spans="1:7" x14ac:dyDescent="0.25">
      <c r="A66" s="31">
        <f t="shared" si="0"/>
        <v>11</v>
      </c>
      <c r="B66" s="13">
        <f t="shared" si="7"/>
        <v>55</v>
      </c>
      <c r="C66" s="26" t="s">
        <v>284</v>
      </c>
      <c r="D66" s="14"/>
      <c r="E66" s="14"/>
      <c r="F66" s="14"/>
      <c r="G66" s="14"/>
    </row>
    <row r="67" spans="1:7" x14ac:dyDescent="0.25">
      <c r="A67" s="31">
        <f t="shared" si="0"/>
        <v>11</v>
      </c>
      <c r="B67" s="13">
        <f t="shared" si="7"/>
        <v>56</v>
      </c>
      <c r="C67" s="26" t="s">
        <v>292</v>
      </c>
      <c r="D67" s="14"/>
      <c r="E67" s="14"/>
      <c r="F67" s="14"/>
      <c r="G67" s="14"/>
    </row>
    <row r="68" spans="1:7" x14ac:dyDescent="0.25">
      <c r="A68" s="31">
        <f t="shared" ref="A68:A76" si="8">IF(ISTEXT(B67), A67+1, A67)</f>
        <v>11</v>
      </c>
      <c r="B68" s="13">
        <f t="shared" si="7"/>
        <v>57</v>
      </c>
      <c r="C68" s="26" t="s">
        <v>285</v>
      </c>
      <c r="D68" s="14"/>
      <c r="E68" s="14"/>
      <c r="F68" s="14"/>
      <c r="G68" s="14"/>
    </row>
    <row r="69" spans="1:7" x14ac:dyDescent="0.25">
      <c r="A69" s="31">
        <f t="shared" si="8"/>
        <v>11</v>
      </c>
      <c r="B69" s="13">
        <f t="shared" si="7"/>
        <v>58</v>
      </c>
      <c r="C69" s="26" t="s">
        <v>293</v>
      </c>
      <c r="D69" s="14"/>
      <c r="E69" s="14"/>
      <c r="F69" s="14"/>
      <c r="G69" s="14"/>
    </row>
    <row r="70" spans="1:7" x14ac:dyDescent="0.25">
      <c r="A70" s="31">
        <f t="shared" si="8"/>
        <v>11</v>
      </c>
      <c r="B70" s="13">
        <f t="shared" si="7"/>
        <v>59</v>
      </c>
      <c r="C70" s="26" t="s">
        <v>309</v>
      </c>
      <c r="D70" s="14"/>
      <c r="E70" s="14"/>
      <c r="F70" s="14"/>
      <c r="G70" s="14"/>
    </row>
    <row r="71" spans="1:7" x14ac:dyDescent="0.25">
      <c r="A71" s="31">
        <f t="shared" si="8"/>
        <v>11</v>
      </c>
      <c r="B71" s="13">
        <f t="shared" si="7"/>
        <v>60</v>
      </c>
      <c r="C71" s="26" t="s">
        <v>311</v>
      </c>
      <c r="D71" s="14"/>
      <c r="E71" s="14"/>
      <c r="F71" s="14"/>
      <c r="G71" s="14"/>
    </row>
    <row r="72" spans="1:7" x14ac:dyDescent="0.25">
      <c r="A72" s="31">
        <f t="shared" si="8"/>
        <v>11</v>
      </c>
      <c r="B72" s="13">
        <f t="shared" si="7"/>
        <v>61</v>
      </c>
      <c r="C72" s="26" t="s">
        <v>312</v>
      </c>
      <c r="D72" s="14"/>
      <c r="E72" s="14"/>
      <c r="F72" s="14"/>
      <c r="G72" s="14"/>
    </row>
    <row r="73" spans="1:7" x14ac:dyDescent="0.25">
      <c r="A73" s="40">
        <f t="shared" si="8"/>
        <v>11</v>
      </c>
      <c r="B73" s="37" t="s">
        <v>363</v>
      </c>
      <c r="C73" s="38"/>
      <c r="D73" s="38"/>
      <c r="E73" s="38"/>
      <c r="F73" s="38"/>
      <c r="G73" s="38"/>
    </row>
    <row r="74" spans="1:7" x14ac:dyDescent="0.25">
      <c r="A74" s="31">
        <f t="shared" si="8"/>
        <v>12</v>
      </c>
      <c r="B74" s="13">
        <f>IF(ISTEXT(B73), B72+1, B73+1)</f>
        <v>62</v>
      </c>
      <c r="C74" s="26" t="s">
        <v>347</v>
      </c>
      <c r="D74" s="14"/>
      <c r="E74" s="14"/>
      <c r="F74" s="14"/>
      <c r="G74" s="14"/>
    </row>
    <row r="75" spans="1:7" x14ac:dyDescent="0.25">
      <c r="A75" s="40">
        <f t="shared" si="8"/>
        <v>12</v>
      </c>
      <c r="B75" s="37" t="s">
        <v>362</v>
      </c>
      <c r="C75" s="38"/>
      <c r="D75" s="38"/>
      <c r="E75" s="38"/>
      <c r="F75" s="38"/>
      <c r="G75" s="38"/>
    </row>
    <row r="76" spans="1:7" x14ac:dyDescent="0.25">
      <c r="A76" s="31">
        <f t="shared" si="8"/>
        <v>13</v>
      </c>
      <c r="B76" s="13">
        <f>IF(ISTEXT(B75), B74+1, B75+1)</f>
        <v>63</v>
      </c>
      <c r="C76" s="26" t="s">
        <v>350</v>
      </c>
      <c r="D76" s="14"/>
      <c r="E76" s="14"/>
      <c r="F76" s="14"/>
      <c r="G76" s="14"/>
    </row>
    <row r="77" spans="1:7" x14ac:dyDescent="0.25">
      <c r="A77" s="40">
        <f>IF(ISTEXT(B76), A76+1, A76)</f>
        <v>13</v>
      </c>
      <c r="B77" s="29" t="s">
        <v>393</v>
      </c>
      <c r="C77" s="19"/>
      <c r="D77" s="19"/>
      <c r="E77" s="19"/>
      <c r="F77" s="19"/>
      <c r="G77" s="19"/>
    </row>
    <row r="78" spans="1:7" x14ac:dyDescent="0.25">
      <c r="A78" s="31">
        <f t="shared" ref="A78:A86" si="9">IF(ISTEXT(B77), A77+1, A77)</f>
        <v>14</v>
      </c>
      <c r="B78" s="13">
        <f t="shared" ref="B78:B85" si="10">IF(ISTEXT(B77), B76+1, B77+1)</f>
        <v>64</v>
      </c>
      <c r="C78" s="26" t="s">
        <v>306</v>
      </c>
      <c r="D78" s="26"/>
      <c r="E78" s="26"/>
      <c r="F78" s="26"/>
      <c r="G78" s="26"/>
    </row>
    <row r="79" spans="1:7" x14ac:dyDescent="0.25">
      <c r="A79" s="31">
        <f t="shared" si="9"/>
        <v>14</v>
      </c>
      <c r="B79" s="13">
        <f t="shared" si="10"/>
        <v>65</v>
      </c>
      <c r="C79" s="26" t="s">
        <v>354</v>
      </c>
      <c r="D79" s="26" t="s">
        <v>431</v>
      </c>
      <c r="E79" s="26"/>
      <c r="F79" s="26"/>
      <c r="G79" s="26"/>
    </row>
    <row r="80" spans="1:7" x14ac:dyDescent="0.25">
      <c r="A80" s="31">
        <f t="shared" si="9"/>
        <v>14</v>
      </c>
      <c r="B80" s="13">
        <f t="shared" si="10"/>
        <v>66</v>
      </c>
      <c r="C80" s="26" t="s">
        <v>353</v>
      </c>
      <c r="D80" s="26" t="s">
        <v>431</v>
      </c>
      <c r="E80" s="26"/>
      <c r="F80" s="26"/>
      <c r="G80" s="26"/>
    </row>
    <row r="81" spans="1:7" x14ac:dyDescent="0.25">
      <c r="A81" s="31">
        <f t="shared" si="9"/>
        <v>14</v>
      </c>
      <c r="B81" s="13">
        <f t="shared" si="10"/>
        <v>67</v>
      </c>
      <c r="C81" s="26"/>
      <c r="D81" s="26"/>
      <c r="E81" s="26"/>
      <c r="F81" s="26"/>
      <c r="G81" s="26"/>
    </row>
    <row r="82" spans="1:7" x14ac:dyDescent="0.25">
      <c r="A82" s="31">
        <f t="shared" si="9"/>
        <v>14</v>
      </c>
      <c r="B82" s="13">
        <f t="shared" si="10"/>
        <v>68</v>
      </c>
      <c r="C82" s="26"/>
      <c r="D82" s="26"/>
      <c r="E82" s="26"/>
      <c r="F82" s="26"/>
      <c r="G82" s="26"/>
    </row>
    <row r="83" spans="1:7" x14ac:dyDescent="0.25">
      <c r="A83" s="31">
        <f t="shared" si="9"/>
        <v>14</v>
      </c>
      <c r="B83" s="13">
        <f t="shared" si="10"/>
        <v>69</v>
      </c>
      <c r="C83" s="26"/>
      <c r="D83" s="26"/>
      <c r="E83" s="26"/>
      <c r="F83" s="26" t="s">
        <v>382</v>
      </c>
      <c r="G83" s="26"/>
    </row>
    <row r="84" spans="1:7" x14ac:dyDescent="0.25">
      <c r="A84" s="40">
        <f>IF(ISTEXT(B83), A83+1, A83)</f>
        <v>14</v>
      </c>
      <c r="B84" s="29" t="s">
        <v>501</v>
      </c>
      <c r="C84" s="19"/>
      <c r="D84" s="19"/>
      <c r="E84" s="19"/>
      <c r="F84" s="19"/>
      <c r="G84" s="19"/>
    </row>
    <row r="85" spans="1:7" x14ac:dyDescent="0.25">
      <c r="A85" s="31">
        <f t="shared" si="9"/>
        <v>15</v>
      </c>
      <c r="B85" s="13">
        <f t="shared" si="10"/>
        <v>70</v>
      </c>
      <c r="C85" s="26"/>
      <c r="D85" s="26"/>
      <c r="E85" s="26"/>
      <c r="F85" s="26"/>
      <c r="G85" s="26"/>
    </row>
    <row r="86" spans="1:7" x14ac:dyDescent="0.25">
      <c r="A86" s="31">
        <f t="shared" si="9"/>
        <v>15</v>
      </c>
      <c r="B86" s="13">
        <f>IF(ISTEXT(B85), B84+1, B85+1)</f>
        <v>71</v>
      </c>
      <c r="C86" s="26"/>
      <c r="D86" s="26"/>
      <c r="E86" s="26"/>
      <c r="F86" s="26"/>
      <c r="G86" s="26"/>
    </row>
    <row r="87" spans="1:7" x14ac:dyDescent="0.25">
      <c r="A87" s="31">
        <f t="shared" ref="A85:A90" si="11">IF(ISTEXT(B86), A86+1, A86)</f>
        <v>15</v>
      </c>
      <c r="B87" s="13">
        <f>IF(ISTEXT(B86), B85+1, B86+1)</f>
        <v>72</v>
      </c>
      <c r="C87" s="26"/>
      <c r="D87" s="26"/>
      <c r="E87" s="26"/>
      <c r="F87" s="26"/>
      <c r="G87" s="26"/>
    </row>
    <row r="88" spans="1:7" x14ac:dyDescent="0.25">
      <c r="A88" s="31">
        <f t="shared" si="11"/>
        <v>15</v>
      </c>
      <c r="B88" s="13">
        <f>IF(ISTEXT(B87), B86+1, B87+1)</f>
        <v>73</v>
      </c>
      <c r="C88" s="26"/>
      <c r="D88" s="26"/>
      <c r="E88" s="26"/>
      <c r="F88" s="26"/>
      <c r="G88" s="26"/>
    </row>
    <row r="89" spans="1:7" x14ac:dyDescent="0.25">
      <c r="A89" s="31">
        <f t="shared" si="11"/>
        <v>15</v>
      </c>
      <c r="B89" s="13">
        <f>IF(ISTEXT(B88), B87+1, B88+1)</f>
        <v>74</v>
      </c>
      <c r="C89" s="26"/>
      <c r="D89" s="26"/>
      <c r="E89" s="26"/>
      <c r="F89" s="26"/>
      <c r="G89" s="26"/>
    </row>
    <row r="90" spans="1:7" x14ac:dyDescent="0.25">
      <c r="A90" s="31">
        <f t="shared" si="11"/>
        <v>15</v>
      </c>
      <c r="B90" s="13">
        <f>IF(ISTEXT(B89), B88+1, B89+1)</f>
        <v>75</v>
      </c>
      <c r="C90" s="26"/>
      <c r="D90" s="26"/>
      <c r="E90" s="26"/>
      <c r="F90" s="26" t="s">
        <v>382</v>
      </c>
      <c r="G90" s="26"/>
    </row>
    <row r="104" spans="4:4" x14ac:dyDescent="0.25">
      <c r="D104" s="14" t="s">
        <v>81</v>
      </c>
    </row>
    <row r="105" spans="4:4" x14ac:dyDescent="0.25">
      <c r="D105" s="14" t="s">
        <v>399</v>
      </c>
    </row>
    <row r="106" spans="4:4" x14ac:dyDescent="0.25">
      <c r="D106" s="14" t="s">
        <v>400</v>
      </c>
    </row>
    <row r="107" spans="4:4" x14ac:dyDescent="0.25">
      <c r="D107" s="14" t="s">
        <v>431</v>
      </c>
    </row>
  </sheetData>
  <mergeCells count="18">
    <mergeCell ref="B84:G84"/>
    <mergeCell ref="B22:G22"/>
    <mergeCell ref="B45:G45"/>
    <mergeCell ref="B47:G47"/>
    <mergeCell ref="B56:G56"/>
    <mergeCell ref="B58:G58"/>
    <mergeCell ref="B73:G73"/>
    <mergeCell ref="B75:G75"/>
    <mergeCell ref="B77:G77"/>
    <mergeCell ref="B8:G8"/>
    <mergeCell ref="C29:E29"/>
    <mergeCell ref="B43:G43"/>
    <mergeCell ref="H22:M22"/>
    <mergeCell ref="B15:G15"/>
    <mergeCell ref="B2:G2"/>
    <mergeCell ref="H2:M2"/>
    <mergeCell ref="H8:M8"/>
    <mergeCell ref="H15:M15"/>
  </mergeCells>
  <conditionalFormatting sqref="D1:D2 D4:D21 D23:D28 D44 D48:D55 D57 D59:D72 D74 D76 D30:D42 D46 D92:D93 D101:D1048576">
    <cfRule type="cellIs" dxfId="156" priority="33" operator="equal">
      <formula>"Custom"</formula>
    </cfRule>
    <cfRule type="cellIs" dxfId="155" priority="34" operator="equal">
      <formula>"Vendor"</formula>
    </cfRule>
    <cfRule type="cellIs" dxfId="154" priority="35" operator="equal">
      <formula>"IT\OT"</formula>
    </cfRule>
    <cfRule type="cellIs" dxfId="153" priority="36" operator="equal">
      <formula>"Site"</formula>
    </cfRule>
  </conditionalFormatting>
  <conditionalFormatting sqref="D1:D21 D23:D28 D44 D48:D55 D57 D59:D72 D74 D76 D30:D42 D46 D92:D93 D101:D1048576">
    <cfRule type="cellIs" dxfId="152" priority="28" operator="equal">
      <formula>""</formula>
    </cfRule>
    <cfRule type="cellIs" dxfId="151" priority="29" operator="equal">
      <formula>"Custom"</formula>
    </cfRule>
    <cfRule type="cellIs" dxfId="150" priority="30" operator="equal">
      <formula>"Vendor"</formula>
    </cfRule>
    <cfRule type="cellIs" dxfId="149" priority="31" operator="equal">
      <formula>"IT\OT"</formula>
    </cfRule>
    <cfRule type="cellIs" dxfId="148" priority="32" operator="equal">
      <formula>"Site"</formula>
    </cfRule>
  </conditionalFormatting>
  <conditionalFormatting sqref="D105:D107">
    <cfRule type="cellIs" dxfId="147" priority="24" operator="equal">
      <formula>"Custom"</formula>
    </cfRule>
    <cfRule type="cellIs" dxfId="146" priority="25" operator="equal">
      <formula>"Vendor"</formula>
    </cfRule>
    <cfRule type="cellIs" dxfId="145" priority="26" operator="equal">
      <formula>"IT\OT"</formula>
    </cfRule>
    <cfRule type="cellIs" dxfId="144" priority="27" operator="equal">
      <formula>"Site"</formula>
    </cfRule>
  </conditionalFormatting>
  <conditionalFormatting sqref="D104:D107">
    <cfRule type="cellIs" dxfId="143" priority="19" operator="equal">
      <formula>""</formula>
    </cfRule>
    <cfRule type="cellIs" dxfId="142" priority="20" operator="equal">
      <formula>"Custom"</formula>
    </cfRule>
    <cfRule type="cellIs" dxfId="141" priority="21" operator="equal">
      <formula>"Vendor"</formula>
    </cfRule>
    <cfRule type="cellIs" dxfId="140" priority="22" operator="equal">
      <formula>"IT\OT"</formula>
    </cfRule>
    <cfRule type="cellIs" dxfId="139" priority="23" operator="equal">
      <formula>"Site"</formula>
    </cfRule>
  </conditionalFormatting>
  <conditionalFormatting sqref="D77:D83">
    <cfRule type="cellIs" dxfId="138" priority="15" operator="equal">
      <formula>"Custom"</formula>
    </cfRule>
    <cfRule type="cellIs" dxfId="137" priority="16" operator="equal">
      <formula>"Vendor"</formula>
    </cfRule>
    <cfRule type="cellIs" dxfId="136" priority="17" operator="equal">
      <formula>"IT\OT"</formula>
    </cfRule>
    <cfRule type="cellIs" dxfId="135" priority="18" operator="equal">
      <formula>"Site"</formula>
    </cfRule>
  </conditionalFormatting>
  <conditionalFormatting sqref="D77:D83">
    <cfRule type="cellIs" dxfId="134" priority="10" operator="equal">
      <formula>""</formula>
    </cfRule>
    <cfRule type="cellIs" dxfId="133" priority="11" operator="equal">
      <formula>"Custom"</formula>
    </cfRule>
    <cfRule type="cellIs" dxfId="132" priority="12" operator="equal">
      <formula>"Vendor"</formula>
    </cfRule>
    <cfRule type="cellIs" dxfId="131" priority="13" operator="equal">
      <formula>"IT\OT"</formula>
    </cfRule>
    <cfRule type="cellIs" dxfId="130" priority="14" operator="equal">
      <formula>"Site"</formula>
    </cfRule>
  </conditionalFormatting>
  <conditionalFormatting sqref="D84:D90">
    <cfRule type="cellIs" dxfId="129" priority="6" operator="equal">
      <formula>"Custom"</formula>
    </cfRule>
    <cfRule type="cellIs" dxfId="128" priority="7" operator="equal">
      <formula>"Vendor"</formula>
    </cfRule>
    <cfRule type="cellIs" dxfId="127" priority="8" operator="equal">
      <formula>"IT\OT"</formula>
    </cfRule>
    <cfRule type="cellIs" dxfId="126" priority="9" operator="equal">
      <formula>"Site"</formula>
    </cfRule>
  </conditionalFormatting>
  <conditionalFormatting sqref="D84:D90">
    <cfRule type="cellIs" dxfId="125" priority="1" operator="equal">
      <formula>""</formula>
    </cfRule>
    <cfRule type="cellIs" dxfId="124" priority="2" operator="equal">
      <formula>"Custom"</formula>
    </cfRule>
    <cfRule type="cellIs" dxfId="123" priority="3" operator="equal">
      <formula>"Vendor"</formula>
    </cfRule>
    <cfRule type="cellIs" dxfId="122" priority="4" operator="equal">
      <formula>"IT\OT"</formula>
    </cfRule>
    <cfRule type="cellIs" dxfId="121" priority="5" operator="equal">
      <formula>"Site"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2F679-3BE4-4AD2-B665-0CD33D4871AE}">
  <dimension ref="A1:M51"/>
  <sheetViews>
    <sheetView zoomScale="85" zoomScaleNormal="85" workbookViewId="0">
      <selection activeCell="D48" sqref="D48:D51"/>
    </sheetView>
  </sheetViews>
  <sheetFormatPr defaultRowHeight="15" x14ac:dyDescent="0.25"/>
  <cols>
    <col min="1" max="1" width="4.140625" customWidth="1"/>
    <col min="3" max="3" width="90.7109375" customWidth="1"/>
    <col min="4" max="4" width="17.42578125" customWidth="1"/>
    <col min="7" max="7" width="36.85546875" customWidth="1"/>
    <col min="8" max="8" width="8" customWidth="1"/>
    <col min="9" max="9" width="95.140625" customWidth="1"/>
    <col min="10" max="10" width="12" customWidth="1"/>
    <col min="11" max="11" width="8.7109375" customWidth="1"/>
    <col min="12" max="12" width="12.5703125" customWidth="1"/>
    <col min="13" max="13" width="25" customWidth="1"/>
  </cols>
  <sheetData>
    <row r="1" spans="1:13" ht="30" x14ac:dyDescent="0.25">
      <c r="A1" s="12" t="s">
        <v>358</v>
      </c>
      <c r="B1" s="12" t="s">
        <v>73</v>
      </c>
      <c r="C1" s="12" t="s">
        <v>74</v>
      </c>
      <c r="D1" s="12" t="s">
        <v>75</v>
      </c>
      <c r="E1" s="12" t="s">
        <v>76</v>
      </c>
      <c r="F1" s="12" t="s">
        <v>77</v>
      </c>
      <c r="G1" s="12" t="s">
        <v>78</v>
      </c>
      <c r="H1" s="12" t="s">
        <v>73</v>
      </c>
      <c r="I1" s="12" t="s">
        <v>74</v>
      </c>
      <c r="J1" s="12" t="s">
        <v>75</v>
      </c>
      <c r="K1" s="12" t="s">
        <v>76</v>
      </c>
      <c r="L1" s="12" t="s">
        <v>77</v>
      </c>
      <c r="M1" s="12" t="s">
        <v>78</v>
      </c>
    </row>
    <row r="2" spans="1:13" x14ac:dyDescent="0.25">
      <c r="A2" s="40">
        <v>1</v>
      </c>
      <c r="B2" s="29" t="s">
        <v>463</v>
      </c>
      <c r="C2" s="19"/>
      <c r="D2" s="19"/>
      <c r="E2" s="19"/>
      <c r="F2" s="19"/>
      <c r="G2" s="19"/>
      <c r="H2" s="18" t="s">
        <v>79</v>
      </c>
      <c r="I2" s="19"/>
      <c r="J2" s="19"/>
      <c r="K2" s="19"/>
      <c r="L2" s="19"/>
      <c r="M2" s="19"/>
    </row>
    <row r="3" spans="1:13" x14ac:dyDescent="0.25">
      <c r="A3" s="31">
        <f>IF(ISTEXT(B2), A2+1, A2)</f>
        <v>2</v>
      </c>
      <c r="B3" s="13">
        <v>1</v>
      </c>
      <c r="C3" s="26" t="s">
        <v>383</v>
      </c>
      <c r="D3" s="14" t="s">
        <v>81</v>
      </c>
      <c r="E3" s="14"/>
      <c r="F3" s="14"/>
      <c r="G3" s="14"/>
      <c r="H3" s="13">
        <v>1</v>
      </c>
      <c r="I3" s="14" t="s">
        <v>80</v>
      </c>
      <c r="J3" s="15" t="s">
        <v>81</v>
      </c>
      <c r="K3" s="14"/>
      <c r="L3" s="14"/>
      <c r="M3" s="14"/>
    </row>
    <row r="4" spans="1:13" x14ac:dyDescent="0.25">
      <c r="A4" s="31">
        <f>IF(ISTEXT(B3), A3+1, A3)</f>
        <v>2</v>
      </c>
      <c r="B4" s="13">
        <f t="shared" ref="B4:B11" si="0">IF(ISTEXT(B3), B2+1, B3+1)</f>
        <v>2</v>
      </c>
      <c r="C4" s="26"/>
      <c r="D4" s="14" t="s">
        <v>399</v>
      </c>
      <c r="E4" s="14"/>
      <c r="F4" s="14"/>
      <c r="G4" s="14"/>
      <c r="H4" s="13">
        <v>2</v>
      </c>
      <c r="I4" s="14" t="s">
        <v>82</v>
      </c>
      <c r="J4" s="15" t="s">
        <v>81</v>
      </c>
      <c r="K4" s="14"/>
      <c r="L4" s="14"/>
      <c r="M4" s="14" t="s">
        <v>83</v>
      </c>
    </row>
    <row r="5" spans="1:13" x14ac:dyDescent="0.25">
      <c r="A5" s="31">
        <f>IF(ISTEXT(B4), A4+1, A4)</f>
        <v>2</v>
      </c>
      <c r="B5" s="13">
        <f t="shared" si="0"/>
        <v>3</v>
      </c>
      <c r="C5" s="26"/>
      <c r="D5" s="14" t="s">
        <v>400</v>
      </c>
      <c r="E5" s="14"/>
      <c r="F5" s="14"/>
      <c r="G5" s="14"/>
      <c r="H5" s="13">
        <v>3</v>
      </c>
      <c r="I5" s="14" t="s">
        <v>84</v>
      </c>
      <c r="J5" s="16" t="s">
        <v>85</v>
      </c>
      <c r="K5" s="14"/>
      <c r="L5" s="14"/>
      <c r="M5" s="14" t="s">
        <v>86</v>
      </c>
    </row>
    <row r="6" spans="1:13" x14ac:dyDescent="0.25">
      <c r="A6" s="31">
        <f>IF(ISTEXT(B5), A5+1, A5)</f>
        <v>2</v>
      </c>
      <c r="B6" s="13">
        <f t="shared" si="0"/>
        <v>4</v>
      </c>
      <c r="C6" s="26"/>
      <c r="D6" s="14" t="s">
        <v>431</v>
      </c>
      <c r="E6" s="14"/>
      <c r="F6" s="14"/>
      <c r="G6" s="14"/>
      <c r="H6" s="13">
        <v>4</v>
      </c>
      <c r="I6" s="14" t="s">
        <v>87</v>
      </c>
      <c r="J6" s="15" t="s">
        <v>81</v>
      </c>
      <c r="K6" s="14"/>
      <c r="L6" s="14"/>
      <c r="M6" s="14" t="s">
        <v>86</v>
      </c>
    </row>
    <row r="7" spans="1:13" x14ac:dyDescent="0.25">
      <c r="A7" s="31">
        <f>IF(ISTEXT(B6), A6+1, A6)</f>
        <v>2</v>
      </c>
      <c r="B7" s="13">
        <f t="shared" si="0"/>
        <v>5</v>
      </c>
      <c r="C7" s="26"/>
      <c r="D7" s="14"/>
      <c r="E7" s="14"/>
      <c r="F7" s="14"/>
      <c r="G7" s="14"/>
      <c r="H7" s="13">
        <v>5</v>
      </c>
      <c r="I7" s="14" t="s">
        <v>88</v>
      </c>
      <c r="J7" s="15" t="s">
        <v>81</v>
      </c>
      <c r="K7" s="14"/>
      <c r="L7" s="14"/>
      <c r="M7" s="14" t="s">
        <v>83</v>
      </c>
    </row>
    <row r="8" spans="1:13" x14ac:dyDescent="0.25">
      <c r="A8" s="40">
        <f>IF(ISTEXT(B7), A7+1, A7)</f>
        <v>2</v>
      </c>
      <c r="B8" s="29" t="s">
        <v>384</v>
      </c>
      <c r="C8" s="19"/>
      <c r="D8" s="19"/>
      <c r="E8" s="19"/>
      <c r="F8" s="19"/>
      <c r="G8" s="19"/>
      <c r="H8" s="18" t="s">
        <v>89</v>
      </c>
      <c r="I8" s="19"/>
      <c r="J8" s="19"/>
      <c r="K8" s="19"/>
      <c r="L8" s="19"/>
      <c r="M8" s="19"/>
    </row>
    <row r="9" spans="1:13" x14ac:dyDescent="0.25">
      <c r="A9" s="31">
        <f t="shared" ref="A9:A42" si="1">IF(ISTEXT(B8), A8+1, A8)</f>
        <v>3</v>
      </c>
      <c r="B9" s="13">
        <f t="shared" si="0"/>
        <v>6</v>
      </c>
      <c r="C9" s="26" t="s">
        <v>402</v>
      </c>
      <c r="D9" s="14" t="s">
        <v>431</v>
      </c>
      <c r="E9" s="14"/>
      <c r="F9" s="14"/>
      <c r="G9" s="14"/>
      <c r="H9" s="13">
        <v>6</v>
      </c>
      <c r="I9" s="14" t="s">
        <v>90</v>
      </c>
      <c r="J9" s="15" t="s">
        <v>81</v>
      </c>
      <c r="K9" s="14"/>
      <c r="L9" s="14"/>
      <c r="M9" s="14" t="s">
        <v>86</v>
      </c>
    </row>
    <row r="10" spans="1:13" x14ac:dyDescent="0.25">
      <c r="A10" s="31">
        <f t="shared" si="1"/>
        <v>3</v>
      </c>
      <c r="B10" s="13">
        <f t="shared" si="0"/>
        <v>7</v>
      </c>
      <c r="C10" s="26" t="s">
        <v>478</v>
      </c>
      <c r="D10" s="14" t="s">
        <v>431</v>
      </c>
      <c r="E10" s="14"/>
      <c r="F10" s="14"/>
      <c r="G10" s="14"/>
      <c r="H10" s="13">
        <v>7</v>
      </c>
      <c r="I10" s="14" t="s">
        <v>91</v>
      </c>
      <c r="J10" s="15" t="s">
        <v>81</v>
      </c>
      <c r="K10" s="14"/>
      <c r="L10" s="14"/>
      <c r="M10" s="14" t="s">
        <v>92</v>
      </c>
    </row>
    <row r="11" spans="1:13" x14ac:dyDescent="0.25">
      <c r="A11" s="31">
        <f t="shared" si="1"/>
        <v>3</v>
      </c>
      <c r="B11" s="13">
        <f t="shared" si="0"/>
        <v>8</v>
      </c>
      <c r="C11" s="26"/>
      <c r="D11" s="14"/>
      <c r="E11" s="14"/>
      <c r="F11" s="14"/>
      <c r="G11" s="14"/>
      <c r="H11" s="13">
        <v>8</v>
      </c>
      <c r="I11" s="14" t="s">
        <v>93</v>
      </c>
      <c r="J11" s="17" t="s">
        <v>94</v>
      </c>
      <c r="K11" s="14"/>
      <c r="L11" s="14"/>
      <c r="M11" s="14" t="s">
        <v>86</v>
      </c>
    </row>
    <row r="12" spans="1:13" x14ac:dyDescent="0.25">
      <c r="A12" s="31">
        <f t="shared" si="1"/>
        <v>3</v>
      </c>
      <c r="B12" s="13">
        <f t="shared" ref="B12:B13" si="2">IF(ISTEXT(B11), B10+1, B11+1)</f>
        <v>9</v>
      </c>
      <c r="C12" s="26"/>
      <c r="D12" s="14"/>
      <c r="E12" s="14"/>
      <c r="F12" s="14"/>
      <c r="G12" s="14"/>
      <c r="H12" s="13">
        <v>9</v>
      </c>
      <c r="I12" s="14" t="s">
        <v>95</v>
      </c>
      <c r="J12" s="15" t="s">
        <v>81</v>
      </c>
      <c r="K12" s="14"/>
      <c r="L12" s="14"/>
      <c r="M12" s="14" t="s">
        <v>96</v>
      </c>
    </row>
    <row r="13" spans="1:13" x14ac:dyDescent="0.25">
      <c r="A13" s="31">
        <f t="shared" si="1"/>
        <v>3</v>
      </c>
      <c r="B13" s="13">
        <f t="shared" si="2"/>
        <v>10</v>
      </c>
      <c r="C13" s="26"/>
      <c r="D13" s="14"/>
      <c r="E13" s="14"/>
      <c r="F13" s="14"/>
      <c r="G13" s="14"/>
      <c r="H13" s="13">
        <v>10</v>
      </c>
      <c r="I13" s="14" t="s">
        <v>97</v>
      </c>
      <c r="J13" s="15" t="s">
        <v>81</v>
      </c>
      <c r="K13" s="14"/>
      <c r="L13" s="14"/>
      <c r="M13" s="14" t="s">
        <v>98</v>
      </c>
    </row>
    <row r="14" spans="1:13" x14ac:dyDescent="0.25">
      <c r="A14" s="31">
        <f t="shared" si="1"/>
        <v>3</v>
      </c>
      <c r="B14" s="30">
        <f t="shared" ref="B14" si="3">IF(ISTEXT(B13), B12+1, B13+1)</f>
        <v>11</v>
      </c>
      <c r="C14" s="26"/>
      <c r="D14" s="14"/>
      <c r="E14" s="14"/>
      <c r="F14" s="14"/>
      <c r="G14" s="14"/>
      <c r="H14" s="13">
        <v>11</v>
      </c>
      <c r="I14" s="14" t="s">
        <v>99</v>
      </c>
      <c r="J14" s="15" t="s">
        <v>81</v>
      </c>
      <c r="K14" s="14"/>
      <c r="L14" s="14"/>
      <c r="M14" s="14" t="s">
        <v>98</v>
      </c>
    </row>
    <row r="15" spans="1:13" x14ac:dyDescent="0.25">
      <c r="A15" s="40">
        <f t="shared" si="1"/>
        <v>3</v>
      </c>
      <c r="B15" s="29" t="s">
        <v>385</v>
      </c>
      <c r="C15" s="19"/>
      <c r="D15" s="19"/>
      <c r="E15" s="19"/>
      <c r="F15" s="19"/>
      <c r="G15" s="19"/>
      <c r="H15" s="18" t="s">
        <v>100</v>
      </c>
      <c r="I15" s="19"/>
      <c r="J15" s="19"/>
      <c r="K15" s="19"/>
      <c r="L15" s="19"/>
      <c r="M15" s="19"/>
    </row>
    <row r="16" spans="1:13" x14ac:dyDescent="0.25">
      <c r="A16" s="31">
        <f t="shared" si="1"/>
        <v>4</v>
      </c>
      <c r="B16" s="13">
        <f t="shared" ref="B16:B42" si="4">IF(ISTEXT(B15), B14+1, B15+1)</f>
        <v>12</v>
      </c>
      <c r="C16" s="26" t="s">
        <v>386</v>
      </c>
      <c r="D16" s="14"/>
      <c r="E16" s="14"/>
      <c r="F16" s="14"/>
      <c r="G16" s="14"/>
      <c r="H16" s="13">
        <v>12</v>
      </c>
      <c r="I16" s="14" t="s">
        <v>101</v>
      </c>
      <c r="J16" s="15" t="s">
        <v>81</v>
      </c>
      <c r="K16" s="14"/>
      <c r="L16" s="14"/>
      <c r="M16" s="14" t="s">
        <v>102</v>
      </c>
    </row>
    <row r="17" spans="1:13" x14ac:dyDescent="0.25">
      <c r="A17" s="31">
        <f t="shared" si="1"/>
        <v>4</v>
      </c>
      <c r="B17" s="13">
        <f t="shared" si="4"/>
        <v>13</v>
      </c>
      <c r="C17" s="26"/>
      <c r="D17" s="14"/>
      <c r="E17" s="14"/>
      <c r="F17" s="14"/>
      <c r="G17" s="14"/>
      <c r="H17" s="13">
        <v>13</v>
      </c>
      <c r="I17" s="14" t="s">
        <v>103</v>
      </c>
      <c r="J17" s="15" t="s">
        <v>81</v>
      </c>
      <c r="K17" s="14"/>
      <c r="L17" s="14"/>
      <c r="M17" s="14" t="s">
        <v>102</v>
      </c>
    </row>
    <row r="18" spans="1:13" x14ac:dyDescent="0.25">
      <c r="A18" s="31">
        <f t="shared" si="1"/>
        <v>4</v>
      </c>
      <c r="B18" s="13">
        <f t="shared" si="4"/>
        <v>14</v>
      </c>
      <c r="C18" s="26"/>
      <c r="D18" s="14"/>
      <c r="E18" s="14"/>
      <c r="F18" s="14"/>
      <c r="G18" s="14"/>
      <c r="H18" s="13">
        <v>14</v>
      </c>
      <c r="I18" s="14" t="s">
        <v>104</v>
      </c>
      <c r="J18" s="15" t="s">
        <v>81</v>
      </c>
      <c r="K18" s="14"/>
      <c r="L18" s="14"/>
      <c r="M18" s="14" t="s">
        <v>102</v>
      </c>
    </row>
    <row r="19" spans="1:13" x14ac:dyDescent="0.25">
      <c r="A19" s="31">
        <f t="shared" si="1"/>
        <v>4</v>
      </c>
      <c r="B19" s="13">
        <f t="shared" si="4"/>
        <v>15</v>
      </c>
      <c r="C19" s="26"/>
      <c r="D19" s="14"/>
      <c r="E19" s="14"/>
      <c r="F19" s="14"/>
      <c r="G19" s="14"/>
      <c r="H19" s="13">
        <v>15</v>
      </c>
      <c r="I19" s="14" t="s">
        <v>105</v>
      </c>
      <c r="J19" s="15" t="s">
        <v>81</v>
      </c>
      <c r="K19" s="14"/>
      <c r="L19" s="14"/>
      <c r="M19" s="14" t="s">
        <v>102</v>
      </c>
    </row>
    <row r="20" spans="1:13" x14ac:dyDescent="0.25">
      <c r="A20" s="31">
        <f t="shared" si="1"/>
        <v>4</v>
      </c>
      <c r="B20" s="13">
        <f t="shared" si="4"/>
        <v>16</v>
      </c>
      <c r="C20" s="26"/>
      <c r="D20" s="14"/>
      <c r="E20" s="14"/>
      <c r="F20" s="14"/>
      <c r="G20" s="14"/>
      <c r="H20" s="13">
        <v>16</v>
      </c>
      <c r="I20" s="14" t="s">
        <v>106</v>
      </c>
      <c r="J20" s="15" t="s">
        <v>81</v>
      </c>
      <c r="K20" s="14"/>
      <c r="L20" s="14"/>
      <c r="M20" s="14" t="s">
        <v>107</v>
      </c>
    </row>
    <row r="21" spans="1:13" x14ac:dyDescent="0.25">
      <c r="A21" s="31">
        <f t="shared" si="1"/>
        <v>4</v>
      </c>
      <c r="B21" s="13">
        <f t="shared" si="4"/>
        <v>17</v>
      </c>
      <c r="C21" s="26"/>
      <c r="D21" s="14"/>
      <c r="E21" s="14"/>
      <c r="F21" s="14"/>
      <c r="G21" s="14"/>
      <c r="H21" s="13">
        <v>17</v>
      </c>
      <c r="I21" s="14" t="s">
        <v>108</v>
      </c>
      <c r="J21" s="15" t="s">
        <v>81</v>
      </c>
      <c r="K21" s="14"/>
      <c r="L21" s="14"/>
      <c r="M21" s="14" t="s">
        <v>107</v>
      </c>
    </row>
    <row r="22" spans="1:13" x14ac:dyDescent="0.25">
      <c r="A22" s="40">
        <f t="shared" si="1"/>
        <v>4</v>
      </c>
      <c r="B22" s="37" t="s">
        <v>486</v>
      </c>
      <c r="C22" s="38"/>
      <c r="D22" s="38"/>
      <c r="E22" s="38"/>
      <c r="F22" s="38"/>
      <c r="G22" s="42"/>
      <c r="H22" s="18" t="s">
        <v>109</v>
      </c>
      <c r="I22" s="19"/>
      <c r="J22" s="19"/>
      <c r="K22" s="19"/>
      <c r="L22" s="19"/>
      <c r="M22" s="19"/>
    </row>
    <row r="23" spans="1:13" x14ac:dyDescent="0.25">
      <c r="A23" s="31">
        <f t="shared" si="1"/>
        <v>5</v>
      </c>
      <c r="B23" s="13">
        <f t="shared" si="4"/>
        <v>18</v>
      </c>
      <c r="C23" s="26" t="s">
        <v>462</v>
      </c>
      <c r="D23" s="14" t="s">
        <v>81</v>
      </c>
      <c r="E23" s="14"/>
      <c r="F23" s="14"/>
      <c r="G23" s="14"/>
      <c r="H23" s="13">
        <v>18</v>
      </c>
      <c r="I23" s="14" t="s">
        <v>110</v>
      </c>
      <c r="J23" s="17" t="s">
        <v>94</v>
      </c>
      <c r="K23" s="14"/>
      <c r="L23" s="14"/>
      <c r="M23" s="14" t="s">
        <v>111</v>
      </c>
    </row>
    <row r="24" spans="1:13" x14ac:dyDescent="0.25">
      <c r="A24" s="31">
        <f t="shared" si="1"/>
        <v>5</v>
      </c>
      <c r="B24" s="13">
        <f t="shared" si="4"/>
        <v>19</v>
      </c>
      <c r="C24" s="26" t="s">
        <v>487</v>
      </c>
      <c r="D24" s="14" t="s">
        <v>81</v>
      </c>
      <c r="E24" s="14"/>
      <c r="F24" s="14"/>
      <c r="G24" s="14"/>
      <c r="H24" s="13">
        <v>19</v>
      </c>
      <c r="I24" s="14" t="s">
        <v>112</v>
      </c>
      <c r="J24" s="15" t="s">
        <v>81</v>
      </c>
      <c r="K24" s="14"/>
      <c r="L24" s="14"/>
      <c r="M24" s="14" t="s">
        <v>113</v>
      </c>
    </row>
    <row r="25" spans="1:13" x14ac:dyDescent="0.25">
      <c r="A25" s="31">
        <f t="shared" si="1"/>
        <v>5</v>
      </c>
      <c r="B25" s="13">
        <f t="shared" si="4"/>
        <v>20</v>
      </c>
      <c r="C25" s="26" t="s">
        <v>403</v>
      </c>
      <c r="D25" s="14" t="s">
        <v>81</v>
      </c>
      <c r="E25" s="14"/>
      <c r="F25" s="14"/>
      <c r="G25" s="14"/>
      <c r="H25" s="13">
        <v>20</v>
      </c>
      <c r="I25" s="14" t="s">
        <v>114</v>
      </c>
      <c r="J25" s="15" t="s">
        <v>81</v>
      </c>
      <c r="K25" s="14"/>
      <c r="L25" s="14"/>
      <c r="M25" s="14" t="s">
        <v>115</v>
      </c>
    </row>
    <row r="26" spans="1:13" x14ac:dyDescent="0.25">
      <c r="A26" s="31">
        <f t="shared" si="1"/>
        <v>5</v>
      </c>
      <c r="B26" s="13">
        <f t="shared" si="4"/>
        <v>21</v>
      </c>
      <c r="C26" s="26" t="s">
        <v>404</v>
      </c>
      <c r="D26" s="14" t="s">
        <v>81</v>
      </c>
      <c r="E26" s="14"/>
      <c r="F26" s="14"/>
      <c r="G26" s="14"/>
      <c r="H26" s="13">
        <v>21</v>
      </c>
      <c r="I26" s="14" t="s">
        <v>116</v>
      </c>
      <c r="J26" s="17" t="s">
        <v>94</v>
      </c>
      <c r="K26" s="14"/>
      <c r="L26" s="14"/>
      <c r="M26" s="14" t="s">
        <v>117</v>
      </c>
    </row>
    <row r="27" spans="1:13" x14ac:dyDescent="0.25">
      <c r="A27" s="31">
        <f t="shared" si="1"/>
        <v>5</v>
      </c>
      <c r="B27" s="13">
        <f t="shared" si="4"/>
        <v>22</v>
      </c>
      <c r="C27" s="26" t="s">
        <v>479</v>
      </c>
      <c r="D27" s="14" t="s">
        <v>431</v>
      </c>
      <c r="E27" s="14"/>
      <c r="F27" s="14"/>
      <c r="G27" s="14"/>
      <c r="H27" s="13">
        <v>22</v>
      </c>
      <c r="I27" s="14" t="s">
        <v>118</v>
      </c>
      <c r="J27" s="17" t="s">
        <v>94</v>
      </c>
      <c r="K27" s="14"/>
      <c r="L27" s="14"/>
      <c r="M27" s="14" t="s">
        <v>119</v>
      </c>
    </row>
    <row r="28" spans="1:13" x14ac:dyDescent="0.25">
      <c r="A28" s="31">
        <f t="shared" si="1"/>
        <v>5</v>
      </c>
      <c r="B28" s="13">
        <f t="shared" si="4"/>
        <v>23</v>
      </c>
      <c r="C28" s="26"/>
      <c r="D28" s="14"/>
      <c r="E28" s="14"/>
      <c r="F28" s="14"/>
      <c r="G28" s="14"/>
      <c r="H28" s="13">
        <v>23</v>
      </c>
      <c r="I28" s="14" t="s">
        <v>120</v>
      </c>
      <c r="J28" s="15" t="s">
        <v>81</v>
      </c>
      <c r="K28" s="14"/>
      <c r="L28" s="14"/>
      <c r="M28" s="14" t="s">
        <v>121</v>
      </c>
    </row>
    <row r="29" spans="1:13" x14ac:dyDescent="0.25">
      <c r="A29" s="40">
        <f t="shared" si="1"/>
        <v>5</v>
      </c>
      <c r="B29" s="37" t="s">
        <v>387</v>
      </c>
      <c r="C29" s="38"/>
      <c r="D29" s="38"/>
      <c r="E29" s="38"/>
      <c r="F29" s="38"/>
      <c r="G29" s="42"/>
    </row>
    <row r="30" spans="1:13" x14ac:dyDescent="0.25">
      <c r="A30" s="31">
        <f t="shared" si="1"/>
        <v>6</v>
      </c>
      <c r="B30" s="13">
        <f t="shared" si="4"/>
        <v>24</v>
      </c>
      <c r="C30" s="26" t="s">
        <v>388</v>
      </c>
      <c r="D30" s="14"/>
      <c r="E30" s="14"/>
      <c r="F30" s="14"/>
      <c r="G30" s="14"/>
    </row>
    <row r="31" spans="1:13" x14ac:dyDescent="0.25">
      <c r="A31" s="31">
        <f t="shared" si="1"/>
        <v>6</v>
      </c>
      <c r="B31" s="13">
        <f t="shared" si="4"/>
        <v>25</v>
      </c>
      <c r="C31" s="26" t="s">
        <v>389</v>
      </c>
      <c r="D31" s="14"/>
      <c r="E31" s="14"/>
      <c r="F31" s="14"/>
      <c r="G31" s="14"/>
    </row>
    <row r="32" spans="1:13" x14ac:dyDescent="0.25">
      <c r="A32" s="31">
        <f t="shared" si="1"/>
        <v>6</v>
      </c>
      <c r="B32" s="13">
        <f t="shared" si="4"/>
        <v>26</v>
      </c>
      <c r="C32" s="26" t="s">
        <v>390</v>
      </c>
      <c r="D32" s="14"/>
      <c r="E32" s="14"/>
      <c r="F32" s="14"/>
      <c r="G32" s="14"/>
    </row>
    <row r="33" spans="1:7" x14ac:dyDescent="0.25">
      <c r="A33" s="31">
        <f t="shared" si="1"/>
        <v>6</v>
      </c>
      <c r="B33" s="13">
        <f t="shared" si="4"/>
        <v>27</v>
      </c>
      <c r="C33" s="26" t="s">
        <v>391</v>
      </c>
      <c r="D33" s="14"/>
      <c r="E33" s="14"/>
      <c r="F33" s="14"/>
      <c r="G33" s="14"/>
    </row>
    <row r="34" spans="1:7" x14ac:dyDescent="0.25">
      <c r="A34" s="31">
        <f t="shared" si="1"/>
        <v>6</v>
      </c>
      <c r="B34" s="13">
        <f t="shared" si="4"/>
        <v>28</v>
      </c>
      <c r="C34" s="26" t="s">
        <v>392</v>
      </c>
      <c r="D34" s="14"/>
      <c r="E34" s="14"/>
      <c r="F34" s="14"/>
      <c r="G34" s="14"/>
    </row>
    <row r="35" spans="1:7" x14ac:dyDescent="0.25">
      <c r="A35" s="31">
        <f t="shared" si="1"/>
        <v>6</v>
      </c>
      <c r="B35" s="13">
        <f t="shared" si="4"/>
        <v>29</v>
      </c>
      <c r="C35" s="26"/>
      <c r="D35" s="14"/>
      <c r="E35" s="14"/>
      <c r="F35" s="14"/>
      <c r="G35" s="14"/>
    </row>
    <row r="36" spans="1:7" x14ac:dyDescent="0.25">
      <c r="A36" s="40">
        <f t="shared" si="1"/>
        <v>6</v>
      </c>
      <c r="B36" s="28" t="s">
        <v>432</v>
      </c>
      <c r="C36" s="21"/>
      <c r="D36" s="21"/>
      <c r="E36" s="21"/>
      <c r="F36" s="21"/>
      <c r="G36" s="52"/>
    </row>
    <row r="37" spans="1:7" x14ac:dyDescent="0.25">
      <c r="A37" s="31">
        <f t="shared" ref="A36:A42" si="5">IF(ISTEXT(B36), A36+1, A36)</f>
        <v>7</v>
      </c>
      <c r="B37" s="13">
        <f t="shared" ref="B37:B42" si="6">IF(ISTEXT(B36), B35+1, B36+1)</f>
        <v>30</v>
      </c>
      <c r="C37" s="26" t="s">
        <v>433</v>
      </c>
      <c r="D37" s="14" t="s">
        <v>488</v>
      </c>
      <c r="E37" s="14"/>
      <c r="F37" s="14"/>
      <c r="G37" s="14"/>
    </row>
    <row r="38" spans="1:7" x14ac:dyDescent="0.25">
      <c r="A38" s="31">
        <f t="shared" si="5"/>
        <v>7</v>
      </c>
      <c r="B38" s="13">
        <f t="shared" si="6"/>
        <v>31</v>
      </c>
      <c r="C38" s="26" t="s">
        <v>464</v>
      </c>
      <c r="D38" s="14" t="s">
        <v>488</v>
      </c>
      <c r="E38" s="14"/>
      <c r="F38" s="14"/>
      <c r="G38" s="14"/>
    </row>
    <row r="39" spans="1:7" x14ac:dyDescent="0.25">
      <c r="A39" s="31">
        <f t="shared" si="5"/>
        <v>7</v>
      </c>
      <c r="B39" s="13">
        <f t="shared" si="6"/>
        <v>32</v>
      </c>
      <c r="C39" s="26"/>
      <c r="D39" s="14"/>
      <c r="E39" s="14"/>
      <c r="F39" s="14"/>
      <c r="G39" s="14"/>
    </row>
    <row r="40" spans="1:7" x14ac:dyDescent="0.25">
      <c r="A40" s="31">
        <f t="shared" si="5"/>
        <v>7</v>
      </c>
      <c r="B40" s="13">
        <f t="shared" si="6"/>
        <v>33</v>
      </c>
      <c r="C40" s="26"/>
      <c r="D40" s="14"/>
      <c r="E40" s="14"/>
      <c r="F40" s="14"/>
      <c r="G40" s="14"/>
    </row>
    <row r="41" spans="1:7" x14ac:dyDescent="0.25">
      <c r="A41" s="31">
        <f t="shared" si="5"/>
        <v>7</v>
      </c>
      <c r="B41" s="13">
        <f t="shared" si="6"/>
        <v>34</v>
      </c>
      <c r="C41" s="26"/>
      <c r="D41" s="14"/>
      <c r="E41" s="14"/>
      <c r="F41" s="14"/>
      <c r="G41" s="14"/>
    </row>
    <row r="42" spans="1:7" x14ac:dyDescent="0.25">
      <c r="A42" s="31">
        <f t="shared" si="5"/>
        <v>7</v>
      </c>
      <c r="B42" s="13">
        <f t="shared" si="6"/>
        <v>35</v>
      </c>
      <c r="C42" s="26"/>
      <c r="D42" s="14"/>
      <c r="E42" s="14"/>
      <c r="F42" s="14"/>
      <c r="G42" s="14"/>
    </row>
    <row r="48" spans="1:7" x14ac:dyDescent="0.25">
      <c r="D48" s="14" t="s">
        <v>81</v>
      </c>
    </row>
    <row r="49" spans="4:4" x14ac:dyDescent="0.25">
      <c r="D49" s="14" t="s">
        <v>399</v>
      </c>
    </row>
    <row r="50" spans="4:4" x14ac:dyDescent="0.25">
      <c r="D50" s="14" t="s">
        <v>400</v>
      </c>
    </row>
    <row r="51" spans="4:4" x14ac:dyDescent="0.25">
      <c r="D51" s="14" t="s">
        <v>431</v>
      </c>
    </row>
  </sheetData>
  <mergeCells count="10">
    <mergeCell ref="H22:M22"/>
    <mergeCell ref="C36:G36"/>
    <mergeCell ref="B22:G22"/>
    <mergeCell ref="B29:G29"/>
    <mergeCell ref="B2:G2"/>
    <mergeCell ref="H2:M2"/>
    <mergeCell ref="B8:G8"/>
    <mergeCell ref="H8:M8"/>
    <mergeCell ref="B15:G15"/>
    <mergeCell ref="H15:M15"/>
  </mergeCells>
  <conditionalFormatting sqref="D1:D2 D30:D35 D4:D21 D23:D28 D37:D1048576">
    <cfRule type="cellIs" dxfId="120" priority="6" operator="equal">
      <formula>"Custom"</formula>
    </cfRule>
    <cfRule type="cellIs" dxfId="119" priority="7" operator="equal">
      <formula>"Vendor"</formula>
    </cfRule>
    <cfRule type="cellIs" dxfId="118" priority="8" operator="equal">
      <formula>"IT\OT"</formula>
    </cfRule>
    <cfRule type="cellIs" dxfId="117" priority="9" operator="equal">
      <formula>"Site"</formula>
    </cfRule>
  </conditionalFormatting>
  <conditionalFormatting sqref="D30:D35 D1:D21 D23:D28 D37:D1048576">
    <cfRule type="cellIs" dxfId="116" priority="1" operator="equal">
      <formula>""</formula>
    </cfRule>
    <cfRule type="cellIs" dxfId="115" priority="2" operator="equal">
      <formula>"Custom"</formula>
    </cfRule>
    <cfRule type="cellIs" dxfId="114" priority="3" operator="equal">
      <formula>"Vendor"</formula>
    </cfRule>
    <cfRule type="cellIs" dxfId="113" priority="4" operator="equal">
      <formula>"IT\OT"</formula>
    </cfRule>
    <cfRule type="cellIs" dxfId="112" priority="5" operator="equal">
      <formula>"Site"</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
  <sheetViews>
    <sheetView topLeftCell="A3" workbookViewId="0">
      <selection activeCell="J28" sqref="J28"/>
    </sheetView>
  </sheetViews>
  <sheetFormatPr defaultRowHeight="15" x14ac:dyDescent="0.25"/>
  <cols>
    <col min="1" max="1" width="3.5703125" customWidth="1"/>
    <col min="3" max="3" width="57.85546875" customWidth="1"/>
    <col min="9" max="9" width="8" customWidth="1"/>
    <col min="10" max="10" width="100.28515625" customWidth="1"/>
    <col min="11" max="12" width="12" customWidth="1"/>
    <col min="13" max="13" width="30" customWidth="1"/>
    <col min="14" max="14" width="25" customWidth="1"/>
  </cols>
  <sheetData>
    <row r="1" spans="1:14" ht="30" x14ac:dyDescent="0.25">
      <c r="A1" s="12" t="s">
        <v>358</v>
      </c>
      <c r="B1" s="12" t="s">
        <v>73</v>
      </c>
      <c r="C1" s="12" t="s">
        <v>74</v>
      </c>
      <c r="D1" s="12" t="s">
        <v>75</v>
      </c>
      <c r="E1" s="12" t="s">
        <v>76</v>
      </c>
      <c r="F1" s="12" t="s">
        <v>77</v>
      </c>
      <c r="G1" s="12" t="s">
        <v>78</v>
      </c>
      <c r="I1" s="12" t="s">
        <v>73</v>
      </c>
      <c r="J1" s="12" t="s">
        <v>74</v>
      </c>
      <c r="K1" s="12" t="s">
        <v>75</v>
      </c>
      <c r="L1" s="12" t="s">
        <v>76</v>
      </c>
      <c r="M1" s="12" t="s">
        <v>77</v>
      </c>
      <c r="N1" s="12" t="s">
        <v>78</v>
      </c>
    </row>
    <row r="2" spans="1:14" x14ac:dyDescent="0.25">
      <c r="A2" s="40">
        <v>1</v>
      </c>
      <c r="B2" s="37" t="s">
        <v>359</v>
      </c>
      <c r="C2" s="38"/>
      <c r="D2" s="38"/>
      <c r="E2" s="38"/>
      <c r="F2" s="38"/>
      <c r="G2" s="38"/>
      <c r="I2" s="18" t="s">
        <v>79</v>
      </c>
      <c r="J2" s="19"/>
      <c r="K2" s="19"/>
      <c r="L2" s="19"/>
      <c r="M2" s="19"/>
      <c r="N2" s="19"/>
    </row>
    <row r="3" spans="1:14" x14ac:dyDescent="0.25">
      <c r="A3" s="31">
        <f>IF(ISTEXT(B2), A2+1, A2)</f>
        <v>2</v>
      </c>
      <c r="B3" s="13">
        <v>1</v>
      </c>
      <c r="C3" s="26" t="s">
        <v>268</v>
      </c>
      <c r="D3" s="14" t="s">
        <v>81</v>
      </c>
      <c r="E3" s="14"/>
      <c r="F3" s="14"/>
      <c r="G3" s="14"/>
      <c r="I3" s="13">
        <v>1</v>
      </c>
      <c r="J3" s="14" t="s">
        <v>80</v>
      </c>
      <c r="K3" s="15" t="s">
        <v>81</v>
      </c>
      <c r="L3" s="14"/>
      <c r="M3" s="14"/>
      <c r="N3" s="14"/>
    </row>
    <row r="4" spans="1:14" x14ac:dyDescent="0.25">
      <c r="A4" s="31">
        <f t="shared" ref="A4:A36" si="0">IF(ISTEXT(B3), A3+1, A3)</f>
        <v>2</v>
      </c>
      <c r="B4" s="13">
        <f>IF(ISTEXT(B3), B2+1, B3+1)</f>
        <v>2</v>
      </c>
      <c r="C4" s="26"/>
      <c r="D4" s="14" t="s">
        <v>399</v>
      </c>
      <c r="E4" s="14"/>
      <c r="F4" s="14"/>
      <c r="G4" s="14"/>
      <c r="I4" s="13">
        <v>2</v>
      </c>
      <c r="J4" s="14" t="s">
        <v>82</v>
      </c>
      <c r="K4" s="15" t="s">
        <v>81</v>
      </c>
      <c r="L4" s="14"/>
      <c r="M4" s="14"/>
      <c r="N4" s="14" t="s">
        <v>83</v>
      </c>
    </row>
    <row r="5" spans="1:14" x14ac:dyDescent="0.25">
      <c r="A5" s="31">
        <f t="shared" si="0"/>
        <v>2</v>
      </c>
      <c r="B5" s="13">
        <f t="shared" ref="B5:B13" si="1">IF(ISTEXT(B4), B3+1, B4+1)</f>
        <v>3</v>
      </c>
      <c r="C5" s="26"/>
      <c r="D5" s="14" t="s">
        <v>400</v>
      </c>
      <c r="E5" s="14"/>
      <c r="F5" s="14"/>
      <c r="G5" s="14"/>
      <c r="I5" s="13">
        <v>3</v>
      </c>
      <c r="J5" s="14" t="s">
        <v>84</v>
      </c>
      <c r="K5" s="16" t="s">
        <v>85</v>
      </c>
      <c r="L5" s="14"/>
      <c r="M5" s="14"/>
      <c r="N5" s="14" t="s">
        <v>86</v>
      </c>
    </row>
    <row r="6" spans="1:14" x14ac:dyDescent="0.25">
      <c r="A6" s="31">
        <f t="shared" si="0"/>
        <v>2</v>
      </c>
      <c r="B6" s="13">
        <f t="shared" si="1"/>
        <v>4</v>
      </c>
      <c r="C6" s="26"/>
      <c r="D6" s="14" t="s">
        <v>431</v>
      </c>
      <c r="E6" s="14"/>
      <c r="F6" s="14"/>
      <c r="G6" s="14"/>
      <c r="I6" s="13">
        <v>4</v>
      </c>
      <c r="J6" s="14" t="s">
        <v>87</v>
      </c>
      <c r="K6" s="15" t="s">
        <v>81</v>
      </c>
      <c r="L6" s="14"/>
      <c r="M6" s="14"/>
      <c r="N6" s="14" t="s">
        <v>86</v>
      </c>
    </row>
    <row r="7" spans="1:14" x14ac:dyDescent="0.25">
      <c r="A7" s="31">
        <f t="shared" si="0"/>
        <v>2</v>
      </c>
      <c r="B7" s="13">
        <f t="shared" si="1"/>
        <v>5</v>
      </c>
      <c r="C7" s="26"/>
      <c r="D7" s="14"/>
      <c r="E7" s="14"/>
      <c r="F7" s="14"/>
      <c r="G7" s="14"/>
      <c r="I7" s="13">
        <v>5</v>
      </c>
      <c r="J7" s="14" t="s">
        <v>88</v>
      </c>
      <c r="K7" s="15" t="s">
        <v>81</v>
      </c>
      <c r="L7" s="14"/>
      <c r="M7" s="14"/>
      <c r="N7" s="14" t="s">
        <v>83</v>
      </c>
    </row>
    <row r="8" spans="1:14" x14ac:dyDescent="0.25">
      <c r="A8" s="40">
        <f t="shared" si="0"/>
        <v>2</v>
      </c>
      <c r="B8" s="29" t="s">
        <v>405</v>
      </c>
      <c r="C8" s="19"/>
      <c r="D8" s="19"/>
      <c r="E8" s="19"/>
      <c r="F8" s="19"/>
      <c r="G8" s="19"/>
      <c r="I8" s="18" t="s">
        <v>89</v>
      </c>
      <c r="J8" s="19"/>
      <c r="K8" s="19"/>
      <c r="L8" s="19"/>
      <c r="M8" s="19"/>
      <c r="N8" s="19"/>
    </row>
    <row r="9" spans="1:14" x14ac:dyDescent="0.25">
      <c r="A9" s="31">
        <f t="shared" si="0"/>
        <v>3</v>
      </c>
      <c r="B9" s="13">
        <f t="shared" si="1"/>
        <v>6</v>
      </c>
      <c r="C9" s="26" t="s">
        <v>324</v>
      </c>
      <c r="D9" s="14" t="s">
        <v>399</v>
      </c>
      <c r="E9" s="14"/>
      <c r="F9" s="14"/>
      <c r="G9" s="14"/>
      <c r="I9" s="13">
        <v>6</v>
      </c>
      <c r="J9" s="14" t="s">
        <v>90</v>
      </c>
      <c r="K9" s="15" t="s">
        <v>81</v>
      </c>
      <c r="L9" s="14"/>
      <c r="M9" s="14"/>
      <c r="N9" s="14" t="s">
        <v>86</v>
      </c>
    </row>
    <row r="10" spans="1:14" x14ac:dyDescent="0.25">
      <c r="A10" s="31">
        <f t="shared" si="0"/>
        <v>3</v>
      </c>
      <c r="B10" s="13">
        <f>IF(ISTEXT(B9), B8+1, B9+1)</f>
        <v>7</v>
      </c>
      <c r="C10" s="26" t="s">
        <v>325</v>
      </c>
      <c r="D10" s="14" t="s">
        <v>399</v>
      </c>
      <c r="E10" s="14"/>
      <c r="F10" s="14"/>
      <c r="G10" s="14"/>
      <c r="I10" s="13">
        <v>7</v>
      </c>
      <c r="J10" s="14" t="s">
        <v>91</v>
      </c>
      <c r="K10" s="15" t="s">
        <v>81</v>
      </c>
      <c r="L10" s="14"/>
      <c r="M10" s="14"/>
      <c r="N10" s="14" t="s">
        <v>92</v>
      </c>
    </row>
    <row r="11" spans="1:14" x14ac:dyDescent="0.25">
      <c r="A11" s="31">
        <f t="shared" si="0"/>
        <v>3</v>
      </c>
      <c r="B11" s="13">
        <f t="shared" si="1"/>
        <v>8</v>
      </c>
      <c r="C11" s="26"/>
      <c r="D11" s="14"/>
      <c r="E11" s="14"/>
      <c r="F11" s="14"/>
      <c r="G11" s="14"/>
      <c r="I11" s="13">
        <v>8</v>
      </c>
      <c r="J11" s="14" t="s">
        <v>93</v>
      </c>
      <c r="K11" s="17" t="s">
        <v>94</v>
      </c>
      <c r="L11" s="14"/>
      <c r="M11" s="14"/>
      <c r="N11" s="14" t="s">
        <v>86</v>
      </c>
    </row>
    <row r="12" spans="1:14" x14ac:dyDescent="0.25">
      <c r="A12" s="31">
        <f t="shared" si="0"/>
        <v>3</v>
      </c>
      <c r="B12" s="13">
        <f t="shared" si="1"/>
        <v>9</v>
      </c>
      <c r="C12" s="26"/>
      <c r="D12" s="14"/>
      <c r="E12" s="14"/>
      <c r="F12" s="14"/>
      <c r="G12" s="14"/>
      <c r="I12" s="13">
        <v>9</v>
      </c>
      <c r="J12" s="14" t="s">
        <v>95</v>
      </c>
      <c r="K12" s="15" t="s">
        <v>81</v>
      </c>
      <c r="L12" s="14"/>
      <c r="M12" s="14"/>
      <c r="N12" s="14" t="s">
        <v>96</v>
      </c>
    </row>
    <row r="13" spans="1:14" x14ac:dyDescent="0.25">
      <c r="A13" s="31">
        <f t="shared" si="0"/>
        <v>3</v>
      </c>
      <c r="B13" s="13">
        <f t="shared" si="1"/>
        <v>10</v>
      </c>
      <c r="C13" s="26"/>
      <c r="D13" s="14"/>
      <c r="E13" s="14"/>
      <c r="F13" s="14"/>
      <c r="G13" s="14"/>
      <c r="I13" s="13">
        <v>10</v>
      </c>
      <c r="J13" s="14" t="s">
        <v>97</v>
      </c>
      <c r="K13" s="15" t="s">
        <v>81</v>
      </c>
      <c r="L13" s="14"/>
      <c r="M13" s="14"/>
      <c r="N13" s="14" t="s">
        <v>98</v>
      </c>
    </row>
    <row r="14" spans="1:14" x14ac:dyDescent="0.25">
      <c r="A14" s="31">
        <f t="shared" si="0"/>
        <v>3</v>
      </c>
      <c r="B14" s="13">
        <f t="shared" ref="B14" si="2">IF(ISTEXT(B13), B12+1, B13+1)</f>
        <v>11</v>
      </c>
      <c r="C14" s="26"/>
      <c r="D14" s="14"/>
      <c r="E14" s="14"/>
      <c r="F14" s="14"/>
      <c r="G14" s="14"/>
      <c r="I14" s="13">
        <v>11</v>
      </c>
      <c r="J14" s="14" t="s">
        <v>99</v>
      </c>
      <c r="K14" s="15" t="s">
        <v>81</v>
      </c>
      <c r="L14" s="14"/>
      <c r="M14" s="14"/>
      <c r="N14" s="14" t="s">
        <v>98</v>
      </c>
    </row>
    <row r="15" spans="1:14" x14ac:dyDescent="0.25">
      <c r="A15" s="40">
        <f t="shared" si="0"/>
        <v>3</v>
      </c>
      <c r="B15" s="29" t="s">
        <v>406</v>
      </c>
      <c r="C15" s="19"/>
      <c r="D15" s="19"/>
      <c r="E15" s="19"/>
      <c r="F15" s="19"/>
      <c r="G15" s="19"/>
      <c r="I15" s="18" t="s">
        <v>100</v>
      </c>
      <c r="J15" s="19"/>
      <c r="K15" s="19"/>
      <c r="L15" s="19"/>
      <c r="M15" s="19"/>
      <c r="N15" s="19"/>
    </row>
    <row r="16" spans="1:14" x14ac:dyDescent="0.25">
      <c r="A16" s="31">
        <f t="shared" si="0"/>
        <v>4</v>
      </c>
      <c r="B16" s="13">
        <f t="shared" ref="B16:B19" si="3">IF(ISTEXT(B15), B14+1, B15+1)</f>
        <v>12</v>
      </c>
      <c r="C16" s="26" t="s">
        <v>315</v>
      </c>
      <c r="D16" s="14" t="s">
        <v>399</v>
      </c>
      <c r="E16" s="14"/>
      <c r="F16" s="14"/>
      <c r="G16" s="14"/>
      <c r="I16" s="13">
        <v>12</v>
      </c>
      <c r="J16" s="14" t="s">
        <v>101</v>
      </c>
      <c r="K16" s="15" t="s">
        <v>81</v>
      </c>
      <c r="L16" s="14"/>
      <c r="M16" s="14"/>
      <c r="N16" s="14" t="s">
        <v>102</v>
      </c>
    </row>
    <row r="17" spans="1:14" x14ac:dyDescent="0.25">
      <c r="A17" s="31">
        <f t="shared" si="0"/>
        <v>4</v>
      </c>
      <c r="B17" s="13">
        <f t="shared" si="3"/>
        <v>13</v>
      </c>
      <c r="C17" s="26" t="s">
        <v>316</v>
      </c>
      <c r="D17" s="14" t="s">
        <v>431</v>
      </c>
      <c r="E17" s="14"/>
      <c r="F17" s="14"/>
      <c r="G17" s="14"/>
      <c r="I17" s="13">
        <v>13</v>
      </c>
      <c r="J17" s="14" t="s">
        <v>103</v>
      </c>
      <c r="K17" s="15" t="s">
        <v>81</v>
      </c>
      <c r="L17" s="14"/>
      <c r="M17" s="14"/>
      <c r="N17" s="14" t="s">
        <v>102</v>
      </c>
    </row>
    <row r="18" spans="1:14" x14ac:dyDescent="0.25">
      <c r="A18" s="31">
        <f t="shared" si="0"/>
        <v>4</v>
      </c>
      <c r="B18" s="13">
        <f t="shared" si="3"/>
        <v>14</v>
      </c>
      <c r="C18" s="26" t="s">
        <v>317</v>
      </c>
      <c r="D18" s="14" t="s">
        <v>399</v>
      </c>
      <c r="E18" s="14"/>
      <c r="F18" s="14"/>
      <c r="G18" s="14"/>
      <c r="I18" s="13">
        <v>14</v>
      </c>
      <c r="J18" s="14" t="s">
        <v>104</v>
      </c>
      <c r="K18" s="15" t="s">
        <v>81</v>
      </c>
      <c r="L18" s="14"/>
      <c r="M18" s="14"/>
      <c r="N18" s="14" t="s">
        <v>102</v>
      </c>
    </row>
    <row r="19" spans="1:14" x14ac:dyDescent="0.25">
      <c r="A19" s="31">
        <f t="shared" si="0"/>
        <v>4</v>
      </c>
      <c r="B19" s="13">
        <f t="shared" si="3"/>
        <v>15</v>
      </c>
      <c r="C19" s="26" t="s">
        <v>323</v>
      </c>
      <c r="D19" s="14" t="s">
        <v>431</v>
      </c>
      <c r="E19" s="14"/>
      <c r="F19" s="14"/>
      <c r="G19" s="14"/>
      <c r="I19" s="13">
        <v>15</v>
      </c>
      <c r="J19" s="14" t="s">
        <v>105</v>
      </c>
      <c r="K19" s="15" t="s">
        <v>81</v>
      </c>
      <c r="L19" s="14"/>
      <c r="M19" s="14"/>
      <c r="N19" s="14" t="s">
        <v>102</v>
      </c>
    </row>
    <row r="20" spans="1:14" x14ac:dyDescent="0.25">
      <c r="A20" s="40">
        <f t="shared" si="0"/>
        <v>4</v>
      </c>
      <c r="B20" s="29" t="s">
        <v>407</v>
      </c>
      <c r="C20" s="19"/>
      <c r="D20" s="19"/>
      <c r="E20" s="19"/>
      <c r="F20" s="19"/>
      <c r="G20" s="19"/>
      <c r="I20" s="13">
        <v>16</v>
      </c>
      <c r="J20" s="14" t="s">
        <v>106</v>
      </c>
      <c r="K20" s="15" t="s">
        <v>81</v>
      </c>
      <c r="L20" s="14"/>
      <c r="M20" s="14"/>
      <c r="N20" s="14" t="s">
        <v>107</v>
      </c>
    </row>
    <row r="21" spans="1:14" x14ac:dyDescent="0.25">
      <c r="A21" s="31">
        <f t="shared" si="0"/>
        <v>5</v>
      </c>
      <c r="B21" s="13">
        <f t="shared" ref="B21:B22" si="4">IF(ISTEXT(B20), B19+1, B20+1)</f>
        <v>16</v>
      </c>
      <c r="C21" s="26" t="s">
        <v>326</v>
      </c>
      <c r="D21" s="14" t="s">
        <v>431</v>
      </c>
      <c r="E21" s="14"/>
      <c r="F21" s="14"/>
      <c r="G21" s="14"/>
      <c r="I21" s="13">
        <v>17</v>
      </c>
      <c r="J21" s="14" t="s">
        <v>108</v>
      </c>
      <c r="K21" s="15" t="s">
        <v>81</v>
      </c>
      <c r="L21" s="14"/>
      <c r="M21" s="14"/>
      <c r="N21" s="14" t="s">
        <v>107</v>
      </c>
    </row>
    <row r="22" spans="1:14" x14ac:dyDescent="0.25">
      <c r="A22" s="31">
        <f t="shared" si="0"/>
        <v>5</v>
      </c>
      <c r="B22" s="13">
        <f t="shared" si="4"/>
        <v>17</v>
      </c>
      <c r="C22" s="26" t="s">
        <v>349</v>
      </c>
      <c r="D22" s="14" t="s">
        <v>431</v>
      </c>
      <c r="E22" s="14"/>
      <c r="F22" s="14"/>
      <c r="G22" s="14"/>
      <c r="I22" s="13"/>
      <c r="J22" s="22"/>
      <c r="K22" s="23"/>
      <c r="L22" s="22"/>
      <c r="M22" s="22"/>
      <c r="N22" s="22"/>
    </row>
    <row r="23" spans="1:14" x14ac:dyDescent="0.25">
      <c r="A23" s="40">
        <f t="shared" si="0"/>
        <v>5</v>
      </c>
      <c r="B23" s="29" t="s">
        <v>408</v>
      </c>
      <c r="C23" s="19"/>
      <c r="D23" s="19"/>
      <c r="E23" s="19"/>
      <c r="F23" s="19"/>
      <c r="G23" s="19"/>
      <c r="I23" s="18" t="s">
        <v>109</v>
      </c>
      <c r="J23" s="19"/>
      <c r="K23" s="19"/>
      <c r="L23" s="19"/>
      <c r="M23" s="19"/>
      <c r="N23" s="19"/>
    </row>
    <row r="24" spans="1:14" x14ac:dyDescent="0.25">
      <c r="A24" s="31">
        <f t="shared" si="0"/>
        <v>6</v>
      </c>
      <c r="B24" s="13">
        <f t="shared" ref="B24:B29" si="5">IF(ISTEXT(B23), B22+1, B23+1)</f>
        <v>18</v>
      </c>
      <c r="C24" s="26" t="s">
        <v>489</v>
      </c>
      <c r="D24" s="14"/>
      <c r="E24" s="14"/>
      <c r="F24" s="14"/>
      <c r="G24" s="14"/>
      <c r="I24" s="13">
        <v>18</v>
      </c>
      <c r="J24" s="14" t="s">
        <v>110</v>
      </c>
      <c r="K24" s="17" t="s">
        <v>94</v>
      </c>
      <c r="L24" s="14"/>
      <c r="M24" s="14"/>
      <c r="N24" s="14" t="s">
        <v>111</v>
      </c>
    </row>
    <row r="25" spans="1:14" x14ac:dyDescent="0.25">
      <c r="A25" s="31">
        <f t="shared" si="0"/>
        <v>6</v>
      </c>
      <c r="B25" s="13">
        <f t="shared" si="5"/>
        <v>19</v>
      </c>
      <c r="C25" s="26" t="s">
        <v>344</v>
      </c>
      <c r="D25" s="14" t="s">
        <v>431</v>
      </c>
      <c r="E25" s="14"/>
      <c r="F25" s="14"/>
      <c r="G25" s="14"/>
      <c r="I25" s="13">
        <v>19</v>
      </c>
      <c r="J25" s="14" t="s">
        <v>112</v>
      </c>
      <c r="K25" s="15" t="s">
        <v>81</v>
      </c>
      <c r="L25" s="14"/>
      <c r="M25" s="14"/>
      <c r="N25" s="14" t="s">
        <v>113</v>
      </c>
    </row>
    <row r="26" spans="1:14" x14ac:dyDescent="0.25">
      <c r="A26" s="31">
        <f t="shared" si="0"/>
        <v>6</v>
      </c>
      <c r="B26" s="13">
        <f t="shared" si="5"/>
        <v>20</v>
      </c>
      <c r="C26" s="26"/>
      <c r="D26" s="14"/>
      <c r="E26" s="14"/>
      <c r="F26" s="14"/>
      <c r="G26" s="14"/>
      <c r="I26" s="13">
        <v>20</v>
      </c>
      <c r="J26" s="14" t="s">
        <v>114</v>
      </c>
      <c r="K26" s="15" t="s">
        <v>81</v>
      </c>
      <c r="L26" s="14"/>
      <c r="M26" s="14"/>
      <c r="N26" s="14" t="s">
        <v>115</v>
      </c>
    </row>
    <row r="27" spans="1:14" x14ac:dyDescent="0.25">
      <c r="A27" s="31">
        <f t="shared" si="0"/>
        <v>6</v>
      </c>
      <c r="B27" s="13">
        <f t="shared" si="5"/>
        <v>21</v>
      </c>
      <c r="C27" s="26"/>
      <c r="D27" s="14"/>
      <c r="E27" s="14"/>
      <c r="F27" s="14"/>
      <c r="G27" s="14"/>
      <c r="I27" s="13">
        <v>21</v>
      </c>
      <c r="J27" s="14" t="s">
        <v>116</v>
      </c>
      <c r="K27" s="17" t="s">
        <v>94</v>
      </c>
      <c r="L27" s="14"/>
      <c r="M27" s="14"/>
      <c r="N27" s="14" t="s">
        <v>117</v>
      </c>
    </row>
    <row r="28" spans="1:14" x14ac:dyDescent="0.25">
      <c r="A28" s="31">
        <f t="shared" si="0"/>
        <v>6</v>
      </c>
      <c r="B28" s="13">
        <f t="shared" si="5"/>
        <v>22</v>
      </c>
      <c r="C28" s="26"/>
      <c r="D28" s="14"/>
      <c r="E28" s="14"/>
      <c r="F28" s="14"/>
      <c r="G28" s="14"/>
      <c r="I28" s="13">
        <v>22</v>
      </c>
      <c r="J28" s="14" t="s">
        <v>118</v>
      </c>
      <c r="K28" s="17" t="s">
        <v>94</v>
      </c>
      <c r="L28" s="14"/>
      <c r="M28" s="14"/>
      <c r="N28" s="14" t="s">
        <v>119</v>
      </c>
    </row>
    <row r="29" spans="1:14" x14ac:dyDescent="0.25">
      <c r="A29" s="31">
        <f t="shared" si="0"/>
        <v>6</v>
      </c>
      <c r="B29" s="13">
        <f t="shared" si="5"/>
        <v>23</v>
      </c>
      <c r="C29" s="26"/>
      <c r="D29" s="14"/>
      <c r="E29" s="14"/>
      <c r="F29" s="14"/>
      <c r="G29" s="14"/>
      <c r="I29" s="13">
        <v>23</v>
      </c>
      <c r="J29" s="14" t="s">
        <v>120</v>
      </c>
      <c r="K29" s="15" t="s">
        <v>81</v>
      </c>
      <c r="L29" s="14"/>
      <c r="M29" s="14"/>
      <c r="N29" s="14" t="s">
        <v>121</v>
      </c>
    </row>
    <row r="30" spans="1:14" x14ac:dyDescent="0.25">
      <c r="A30" s="40">
        <f t="shared" si="0"/>
        <v>6</v>
      </c>
      <c r="B30" s="29" t="s">
        <v>424</v>
      </c>
      <c r="C30" s="19"/>
      <c r="D30" s="19"/>
      <c r="E30" s="19"/>
      <c r="F30" s="19"/>
      <c r="G30" s="19"/>
    </row>
    <row r="31" spans="1:14" x14ac:dyDescent="0.25">
      <c r="A31" s="31">
        <f t="shared" si="0"/>
        <v>7</v>
      </c>
      <c r="B31" s="13">
        <f t="shared" ref="B31:B37" si="6">IF(ISTEXT(B30), B29+1, B30+1)</f>
        <v>24</v>
      </c>
      <c r="C31" t="s">
        <v>533</v>
      </c>
      <c r="D31" s="14" t="s">
        <v>81</v>
      </c>
      <c r="E31" s="26"/>
      <c r="F31" s="26"/>
      <c r="G31" s="26"/>
    </row>
    <row r="32" spans="1:14" x14ac:dyDescent="0.25">
      <c r="A32" s="31">
        <f t="shared" si="0"/>
        <v>7</v>
      </c>
      <c r="B32" s="13">
        <f t="shared" si="6"/>
        <v>25</v>
      </c>
      <c r="C32" s="26" t="s">
        <v>534</v>
      </c>
      <c r="D32" s="26"/>
      <c r="E32" s="26"/>
      <c r="F32" s="26"/>
      <c r="G32" s="26"/>
    </row>
    <row r="33" spans="1:7" x14ac:dyDescent="0.25">
      <c r="A33" s="31">
        <f t="shared" si="0"/>
        <v>7</v>
      </c>
      <c r="B33" s="13">
        <f t="shared" si="6"/>
        <v>26</v>
      </c>
      <c r="C33" s="26"/>
      <c r="D33" s="26"/>
      <c r="E33" s="26"/>
      <c r="F33" s="26"/>
      <c r="G33" s="26"/>
    </row>
    <row r="34" spans="1:7" x14ac:dyDescent="0.25">
      <c r="A34" s="31">
        <f t="shared" si="0"/>
        <v>7</v>
      </c>
      <c r="B34" s="13">
        <f t="shared" si="6"/>
        <v>27</v>
      </c>
      <c r="C34" s="26"/>
      <c r="D34" s="26"/>
      <c r="E34" s="26"/>
      <c r="F34" s="26"/>
      <c r="G34" s="26"/>
    </row>
    <row r="35" spans="1:7" x14ac:dyDescent="0.25">
      <c r="A35" s="31">
        <f t="shared" si="0"/>
        <v>7</v>
      </c>
      <c r="B35" s="13">
        <f t="shared" si="6"/>
        <v>28</v>
      </c>
      <c r="C35" s="26"/>
      <c r="D35" s="26"/>
      <c r="E35" s="26"/>
      <c r="F35" s="26"/>
      <c r="G35" s="26"/>
    </row>
    <row r="36" spans="1:7" x14ac:dyDescent="0.25">
      <c r="A36" s="31">
        <f t="shared" si="0"/>
        <v>7</v>
      </c>
      <c r="B36" s="13">
        <f t="shared" si="6"/>
        <v>29</v>
      </c>
      <c r="C36" s="26"/>
      <c r="D36" s="26"/>
      <c r="E36" s="26"/>
      <c r="F36" s="26"/>
      <c r="G36" s="26"/>
    </row>
    <row r="37" spans="1:7" x14ac:dyDescent="0.25">
      <c r="B37" s="13">
        <f t="shared" si="6"/>
        <v>30</v>
      </c>
      <c r="C37" s="26"/>
      <c r="D37" s="26"/>
      <c r="E37" s="26"/>
      <c r="F37" s="26"/>
      <c r="G37" s="26"/>
    </row>
  </sheetData>
  <mergeCells count="10">
    <mergeCell ref="B30:G30"/>
    <mergeCell ref="I8:N8"/>
    <mergeCell ref="I2:N2"/>
    <mergeCell ref="I23:N23"/>
    <mergeCell ref="I15:N15"/>
    <mergeCell ref="B2:G2"/>
    <mergeCell ref="B8:G8"/>
    <mergeCell ref="B15:G15"/>
    <mergeCell ref="B20:G20"/>
    <mergeCell ref="B23:G23"/>
  </mergeCells>
  <conditionalFormatting sqref="D1:D2 D4:D29 D38:D1048576">
    <cfRule type="cellIs" dxfId="111" priority="24" operator="equal">
      <formula>"Custom"</formula>
    </cfRule>
    <cfRule type="cellIs" dxfId="110" priority="25" operator="equal">
      <formula>"Vendor"</formula>
    </cfRule>
    <cfRule type="cellIs" dxfId="109" priority="26" operator="equal">
      <formula>"IT\OT"</formula>
    </cfRule>
    <cfRule type="cellIs" dxfId="108" priority="27" operator="equal">
      <formula>"Site"</formula>
    </cfRule>
  </conditionalFormatting>
  <conditionalFormatting sqref="D1:D29 D38:D1048576">
    <cfRule type="cellIs" dxfId="107" priority="19" operator="equal">
      <formula>""</formula>
    </cfRule>
    <cfRule type="cellIs" dxfId="106" priority="20" operator="equal">
      <formula>"Custom"</formula>
    </cfRule>
    <cfRule type="cellIs" dxfId="105" priority="21" operator="equal">
      <formula>"Vendor"</formula>
    </cfRule>
    <cfRule type="cellIs" dxfId="104" priority="22" operator="equal">
      <formula>"IT\OT"</formula>
    </cfRule>
    <cfRule type="cellIs" dxfId="103" priority="23" operator="equal">
      <formula>"Site"</formula>
    </cfRule>
  </conditionalFormatting>
  <conditionalFormatting sqref="D30:D37">
    <cfRule type="cellIs" dxfId="102" priority="6" operator="equal">
      <formula>"Custom"</formula>
    </cfRule>
    <cfRule type="cellIs" dxfId="101" priority="7" operator="equal">
      <formula>"Vendor"</formula>
    </cfRule>
    <cfRule type="cellIs" dxfId="100" priority="8" operator="equal">
      <formula>"IT\OT"</formula>
    </cfRule>
    <cfRule type="cellIs" dxfId="99" priority="9" operator="equal">
      <formula>"Site"</formula>
    </cfRule>
  </conditionalFormatting>
  <conditionalFormatting sqref="D30:D37">
    <cfRule type="cellIs" dxfId="98" priority="1" operator="equal">
      <formula>""</formula>
    </cfRule>
    <cfRule type="cellIs" dxfId="97" priority="2" operator="equal">
      <formula>"Custom"</formula>
    </cfRule>
    <cfRule type="cellIs" dxfId="96" priority="3" operator="equal">
      <formula>"Vendor"</formula>
    </cfRule>
    <cfRule type="cellIs" dxfId="95" priority="4" operator="equal">
      <formula>"IT\OT"</formula>
    </cfRule>
    <cfRule type="cellIs" dxfId="94" priority="5" operator="equal">
      <formula>"Site"</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workbookViewId="0">
      <selection activeCell="D26" sqref="D26:D29"/>
    </sheetView>
  </sheetViews>
  <sheetFormatPr defaultRowHeight="15" x14ac:dyDescent="0.25"/>
  <cols>
    <col min="1" max="1" width="3.5703125" customWidth="1"/>
    <col min="2" max="2" width="8.42578125" bestFit="1" customWidth="1"/>
    <col min="3" max="3" width="92.5703125" customWidth="1"/>
    <col min="4" max="5" width="12" customWidth="1"/>
    <col min="6" max="6" width="30" customWidth="1"/>
    <col min="7" max="7" width="25" customWidth="1"/>
    <col min="8" max="8" width="8" customWidth="1"/>
    <col min="9" max="9" width="79.5703125" customWidth="1"/>
    <col min="10" max="11" width="12" customWidth="1"/>
    <col min="12" max="12" width="30" customWidth="1"/>
    <col min="13" max="13" width="25" customWidth="1"/>
  </cols>
  <sheetData>
    <row r="1" spans="1:13" x14ac:dyDescent="0.25">
      <c r="A1" s="12" t="s">
        <v>358</v>
      </c>
      <c r="B1" s="12" t="s">
        <v>73</v>
      </c>
      <c r="C1" s="12" t="s">
        <v>74</v>
      </c>
      <c r="D1" s="12" t="s">
        <v>75</v>
      </c>
      <c r="E1" s="12" t="s">
        <v>76</v>
      </c>
      <c r="F1" s="12" t="s">
        <v>77</v>
      </c>
      <c r="G1" s="12" t="s">
        <v>78</v>
      </c>
      <c r="H1" s="12" t="s">
        <v>73</v>
      </c>
      <c r="I1" s="12" t="s">
        <v>74</v>
      </c>
      <c r="J1" s="12" t="s">
        <v>75</v>
      </c>
      <c r="K1" s="12" t="s">
        <v>76</v>
      </c>
      <c r="L1" s="12" t="s">
        <v>77</v>
      </c>
      <c r="M1" s="12" t="s">
        <v>78</v>
      </c>
    </row>
    <row r="2" spans="1:13" x14ac:dyDescent="0.25">
      <c r="A2" s="40">
        <v>1</v>
      </c>
      <c r="B2" s="37" t="s">
        <v>412</v>
      </c>
      <c r="C2" s="21"/>
      <c r="D2" s="21"/>
      <c r="E2" s="21"/>
      <c r="F2" s="21"/>
      <c r="G2" s="21"/>
      <c r="H2" s="20" t="s">
        <v>122</v>
      </c>
      <c r="I2" s="21"/>
      <c r="J2" s="21"/>
      <c r="K2" s="21"/>
      <c r="L2" s="21"/>
      <c r="M2" s="21"/>
    </row>
    <row r="3" spans="1:13" x14ac:dyDescent="0.25">
      <c r="A3" s="31">
        <f>IF(ISTEXT(B2), A2+1, A2)</f>
        <v>2</v>
      </c>
      <c r="B3" s="13">
        <v>1</v>
      </c>
      <c r="C3" s="14" t="s">
        <v>446</v>
      </c>
      <c r="D3" s="14" t="s">
        <v>400</v>
      </c>
      <c r="E3" s="14"/>
      <c r="F3" s="14"/>
      <c r="G3" s="14"/>
      <c r="H3" s="13">
        <v>24</v>
      </c>
      <c r="I3" s="14" t="s">
        <v>123</v>
      </c>
      <c r="J3" s="15" t="s">
        <v>81</v>
      </c>
      <c r="K3" s="14"/>
      <c r="L3" s="14"/>
      <c r="M3" s="14" t="s">
        <v>124</v>
      </c>
    </row>
    <row r="4" spans="1:13" x14ac:dyDescent="0.25">
      <c r="A4" s="31">
        <f t="shared" ref="A4:A22" si="0">IF(ISTEXT(B3), A3+1, A3)</f>
        <v>2</v>
      </c>
      <c r="B4" s="13">
        <f>IF(ISTEXT(B3), B2+1, B3+1)</f>
        <v>2</v>
      </c>
      <c r="C4" s="14"/>
      <c r="D4" s="14" t="s">
        <v>399</v>
      </c>
      <c r="E4" s="14"/>
      <c r="F4" s="14"/>
      <c r="G4" s="14"/>
      <c r="H4" s="13">
        <v>25</v>
      </c>
      <c r="I4" s="14" t="s">
        <v>125</v>
      </c>
      <c r="J4" s="15" t="s">
        <v>81</v>
      </c>
      <c r="K4" s="14"/>
      <c r="L4" s="14"/>
      <c r="M4" s="14" t="s">
        <v>126</v>
      </c>
    </row>
    <row r="5" spans="1:13" x14ac:dyDescent="0.25">
      <c r="A5" s="31">
        <f t="shared" si="0"/>
        <v>2</v>
      </c>
      <c r="B5" s="13">
        <f t="shared" ref="B5:B6" si="1">IF(ISTEXT(B4), B3+1, B4+1)</f>
        <v>3</v>
      </c>
      <c r="C5" s="14"/>
      <c r="D5" s="14" t="s">
        <v>400</v>
      </c>
      <c r="E5" s="14"/>
      <c r="F5" s="14"/>
      <c r="G5" s="14"/>
      <c r="H5" s="13">
        <v>26</v>
      </c>
      <c r="I5" s="14" t="s">
        <v>127</v>
      </c>
      <c r="J5" s="15" t="s">
        <v>81</v>
      </c>
      <c r="K5" s="14"/>
      <c r="L5" s="14"/>
      <c r="M5" s="14" t="s">
        <v>128</v>
      </c>
    </row>
    <row r="6" spans="1:13" x14ac:dyDescent="0.25">
      <c r="A6" s="31">
        <f t="shared" si="0"/>
        <v>2</v>
      </c>
      <c r="B6" s="13">
        <f t="shared" si="1"/>
        <v>4</v>
      </c>
      <c r="C6" s="14"/>
      <c r="D6" s="14" t="s">
        <v>431</v>
      </c>
      <c r="E6" s="14"/>
      <c r="F6" s="14"/>
      <c r="G6" s="14"/>
      <c r="H6" s="13">
        <v>27</v>
      </c>
      <c r="I6" s="14" t="s">
        <v>129</v>
      </c>
      <c r="J6" s="15" t="s">
        <v>81</v>
      </c>
      <c r="K6" s="14"/>
      <c r="L6" s="14"/>
      <c r="M6" s="14" t="s">
        <v>130</v>
      </c>
    </row>
    <row r="7" spans="1:13" x14ac:dyDescent="0.25">
      <c r="A7" s="31">
        <f t="shared" si="0"/>
        <v>2</v>
      </c>
      <c r="B7" s="13">
        <f t="shared" ref="B7" si="2">IF(ISTEXT(B6), B5+1, B6+1)</f>
        <v>5</v>
      </c>
      <c r="C7" s="14"/>
      <c r="D7" s="15"/>
      <c r="E7" s="14"/>
      <c r="F7" s="14"/>
      <c r="G7" s="14"/>
      <c r="H7" s="13">
        <v>28</v>
      </c>
      <c r="I7" s="14" t="s">
        <v>131</v>
      </c>
      <c r="J7" s="15" t="s">
        <v>81</v>
      </c>
      <c r="K7" s="14"/>
      <c r="L7" s="14"/>
      <c r="M7" s="14" t="s">
        <v>132</v>
      </c>
    </row>
    <row r="8" spans="1:13" x14ac:dyDescent="0.25">
      <c r="A8" s="40">
        <f t="shared" si="0"/>
        <v>2</v>
      </c>
      <c r="B8" s="37" t="s">
        <v>413</v>
      </c>
      <c r="C8" s="21"/>
      <c r="D8" s="21"/>
      <c r="E8" s="21"/>
      <c r="F8" s="21"/>
      <c r="G8" s="21"/>
      <c r="H8" s="20" t="s">
        <v>133</v>
      </c>
      <c r="I8" s="21"/>
      <c r="J8" s="21"/>
      <c r="K8" s="21"/>
      <c r="L8" s="21"/>
      <c r="M8" s="21"/>
    </row>
    <row r="9" spans="1:13" x14ac:dyDescent="0.25">
      <c r="A9" s="31">
        <f t="shared" si="0"/>
        <v>3</v>
      </c>
      <c r="B9" s="13">
        <f t="shared" ref="B9:B22" si="3">IF(ISTEXT(B8), B7+1, B8+1)</f>
        <v>6</v>
      </c>
      <c r="C9" s="14"/>
      <c r="D9" s="15"/>
      <c r="E9" s="14"/>
      <c r="F9" s="14"/>
      <c r="G9" s="14"/>
      <c r="H9" s="13">
        <v>29</v>
      </c>
      <c r="I9" s="14" t="s">
        <v>134</v>
      </c>
      <c r="J9" s="15" t="s">
        <v>81</v>
      </c>
      <c r="K9" s="14"/>
      <c r="L9" s="14"/>
      <c r="M9" s="14" t="s">
        <v>135</v>
      </c>
    </row>
    <row r="10" spans="1:13" x14ac:dyDescent="0.25">
      <c r="A10" s="31">
        <f t="shared" si="0"/>
        <v>3</v>
      </c>
      <c r="B10" s="13">
        <f t="shared" si="3"/>
        <v>7</v>
      </c>
      <c r="C10" s="14"/>
      <c r="D10" s="15"/>
      <c r="E10" s="14"/>
      <c r="F10" s="14"/>
      <c r="G10" s="14"/>
      <c r="H10" s="13">
        <v>30</v>
      </c>
      <c r="I10" s="14" t="s">
        <v>136</v>
      </c>
      <c r="J10" s="15" t="s">
        <v>81</v>
      </c>
      <c r="K10" s="14"/>
      <c r="L10" s="14"/>
      <c r="M10" s="14" t="s">
        <v>135</v>
      </c>
    </row>
    <row r="11" spans="1:13" x14ac:dyDescent="0.25">
      <c r="A11" s="31">
        <f t="shared" si="0"/>
        <v>3</v>
      </c>
      <c r="B11" s="13">
        <f t="shared" si="3"/>
        <v>8</v>
      </c>
      <c r="C11" s="14"/>
      <c r="D11" s="15"/>
      <c r="E11" s="14"/>
      <c r="F11" s="14"/>
      <c r="G11" s="14"/>
      <c r="H11" s="13">
        <v>31</v>
      </c>
      <c r="I11" s="14" t="s">
        <v>137</v>
      </c>
      <c r="J11" s="15" t="s">
        <v>81</v>
      </c>
      <c r="K11" s="14"/>
      <c r="L11" s="14"/>
      <c r="M11" s="14" t="s">
        <v>138</v>
      </c>
    </row>
    <row r="12" spans="1:13" x14ac:dyDescent="0.25">
      <c r="A12" s="31">
        <f t="shared" si="0"/>
        <v>3</v>
      </c>
      <c r="B12" s="13">
        <f t="shared" si="3"/>
        <v>9</v>
      </c>
      <c r="C12" s="14"/>
      <c r="D12" s="15"/>
      <c r="E12" s="14"/>
      <c r="F12" s="14"/>
      <c r="G12" s="14"/>
      <c r="H12" s="13">
        <v>32</v>
      </c>
      <c r="I12" s="14" t="s">
        <v>139</v>
      </c>
      <c r="J12" s="15" t="s">
        <v>81</v>
      </c>
      <c r="K12" s="14"/>
      <c r="L12" s="14"/>
      <c r="M12" s="14" t="s">
        <v>140</v>
      </c>
    </row>
    <row r="13" spans="1:13" x14ac:dyDescent="0.25">
      <c r="A13" s="31">
        <f t="shared" si="0"/>
        <v>3</v>
      </c>
      <c r="B13" s="13">
        <f t="shared" si="3"/>
        <v>10</v>
      </c>
      <c r="C13" s="14"/>
      <c r="D13" s="15"/>
      <c r="E13" s="14"/>
      <c r="F13" s="14"/>
      <c r="G13" s="14"/>
      <c r="H13" s="13">
        <v>33</v>
      </c>
      <c r="I13" s="14" t="s">
        <v>141</v>
      </c>
      <c r="J13" s="15" t="s">
        <v>81</v>
      </c>
      <c r="K13" s="14"/>
      <c r="L13" s="14"/>
      <c r="M13" s="14" t="s">
        <v>140</v>
      </c>
    </row>
    <row r="14" spans="1:13" x14ac:dyDescent="0.25">
      <c r="A14" s="31">
        <f t="shared" si="0"/>
        <v>3</v>
      </c>
      <c r="B14" s="13">
        <f t="shared" si="3"/>
        <v>11</v>
      </c>
      <c r="C14" s="14"/>
      <c r="D14" s="15"/>
      <c r="E14" s="14"/>
      <c r="F14" s="14"/>
      <c r="G14" s="14"/>
      <c r="H14" s="13">
        <v>34</v>
      </c>
      <c r="I14" s="14" t="s">
        <v>142</v>
      </c>
      <c r="J14" s="15" t="s">
        <v>81</v>
      </c>
      <c r="K14" s="14"/>
      <c r="L14" s="14"/>
      <c r="M14" s="14" t="s">
        <v>143</v>
      </c>
    </row>
    <row r="15" spans="1:13" x14ac:dyDescent="0.25">
      <c r="A15" s="40">
        <f t="shared" si="0"/>
        <v>3</v>
      </c>
      <c r="B15" s="37" t="s">
        <v>414</v>
      </c>
      <c r="C15" s="21"/>
      <c r="D15" s="21"/>
      <c r="E15" s="21"/>
      <c r="F15" s="21"/>
      <c r="G15" s="21"/>
      <c r="H15" s="20" t="s">
        <v>144</v>
      </c>
      <c r="I15" s="21"/>
      <c r="J15" s="21"/>
      <c r="K15" s="21"/>
      <c r="L15" s="21"/>
      <c r="M15" s="21"/>
    </row>
    <row r="16" spans="1:13" x14ac:dyDescent="0.25">
      <c r="A16" s="31">
        <f t="shared" si="0"/>
        <v>4</v>
      </c>
      <c r="B16" s="13">
        <f t="shared" si="3"/>
        <v>12</v>
      </c>
      <c r="C16" s="14"/>
      <c r="D16" s="16"/>
      <c r="E16" s="14"/>
      <c r="F16" s="14"/>
      <c r="G16" s="14"/>
      <c r="H16" s="13">
        <v>35</v>
      </c>
      <c r="I16" s="14" t="s">
        <v>145</v>
      </c>
      <c r="J16" s="16" t="s">
        <v>85</v>
      </c>
      <c r="K16" s="14"/>
      <c r="L16" s="14"/>
      <c r="M16" s="14" t="s">
        <v>146</v>
      </c>
    </row>
    <row r="17" spans="1:13" x14ac:dyDescent="0.25">
      <c r="A17" s="31">
        <f t="shared" si="0"/>
        <v>4</v>
      </c>
      <c r="B17" s="13">
        <f t="shared" si="3"/>
        <v>13</v>
      </c>
      <c r="C17" s="14"/>
      <c r="D17" s="15"/>
      <c r="E17" s="14"/>
      <c r="F17" s="14"/>
      <c r="G17" s="14"/>
      <c r="H17" s="13">
        <v>36</v>
      </c>
      <c r="I17" s="14" t="s">
        <v>147</v>
      </c>
      <c r="J17" s="15" t="s">
        <v>81</v>
      </c>
      <c r="K17" s="14"/>
      <c r="L17" s="14"/>
      <c r="M17" s="14" t="s">
        <v>148</v>
      </c>
    </row>
    <row r="18" spans="1:13" x14ac:dyDescent="0.25">
      <c r="A18" s="41">
        <f t="shared" si="0"/>
        <v>4</v>
      </c>
      <c r="B18" s="13">
        <f t="shared" si="3"/>
        <v>14</v>
      </c>
      <c r="C18" s="14"/>
      <c r="D18" s="17"/>
      <c r="E18" s="14"/>
      <c r="F18" s="14"/>
      <c r="G18" s="14"/>
      <c r="H18" s="13">
        <v>37</v>
      </c>
      <c r="I18" s="14" t="s">
        <v>149</v>
      </c>
      <c r="J18" s="17" t="s">
        <v>94</v>
      </c>
      <c r="K18" s="14"/>
      <c r="L18" s="14"/>
      <c r="M18" s="14" t="s">
        <v>111</v>
      </c>
    </row>
    <row r="19" spans="1:13" x14ac:dyDescent="0.25">
      <c r="A19" s="41">
        <f t="shared" si="0"/>
        <v>4</v>
      </c>
      <c r="B19" s="13">
        <f t="shared" si="3"/>
        <v>15</v>
      </c>
      <c r="C19" s="14"/>
      <c r="D19" s="15"/>
      <c r="E19" s="14"/>
      <c r="F19" s="14"/>
      <c r="G19" s="14"/>
      <c r="H19" s="13">
        <v>38</v>
      </c>
      <c r="I19" s="14" t="s">
        <v>150</v>
      </c>
      <c r="J19" s="15" t="s">
        <v>81</v>
      </c>
      <c r="K19" s="14"/>
      <c r="L19" s="14"/>
      <c r="M19" s="14" t="s">
        <v>151</v>
      </c>
    </row>
    <row r="20" spans="1:13" x14ac:dyDescent="0.25">
      <c r="A20" s="41">
        <f t="shared" si="0"/>
        <v>4</v>
      </c>
      <c r="B20" s="13">
        <f t="shared" si="3"/>
        <v>16</v>
      </c>
      <c r="C20" s="14" t="s">
        <v>494</v>
      </c>
      <c r="D20" s="14" t="s">
        <v>400</v>
      </c>
      <c r="E20" s="14"/>
      <c r="F20" s="14"/>
      <c r="G20" s="14"/>
      <c r="H20" s="13">
        <v>39</v>
      </c>
      <c r="I20" s="14" t="s">
        <v>152</v>
      </c>
      <c r="J20" s="16" t="s">
        <v>85</v>
      </c>
      <c r="K20" s="14"/>
      <c r="L20" s="14"/>
      <c r="M20" s="14" t="s">
        <v>153</v>
      </c>
    </row>
    <row r="21" spans="1:13" x14ac:dyDescent="0.25">
      <c r="A21" s="41">
        <f t="shared" si="0"/>
        <v>4</v>
      </c>
      <c r="B21" s="13">
        <f t="shared" si="3"/>
        <v>17</v>
      </c>
      <c r="C21" s="14"/>
      <c r="D21" s="15"/>
      <c r="E21" s="14"/>
      <c r="F21" s="14"/>
      <c r="G21" s="14"/>
      <c r="H21" s="13">
        <v>40</v>
      </c>
      <c r="I21" s="14" t="s">
        <v>154</v>
      </c>
      <c r="J21" s="15" t="s">
        <v>81</v>
      </c>
      <c r="K21" s="14"/>
      <c r="L21" s="14"/>
      <c r="M21" s="14" t="s">
        <v>155</v>
      </c>
    </row>
    <row r="22" spans="1:13" x14ac:dyDescent="0.25">
      <c r="A22" s="41">
        <f t="shared" si="0"/>
        <v>4</v>
      </c>
      <c r="B22" s="13">
        <f t="shared" si="3"/>
        <v>18</v>
      </c>
      <c r="C22" s="14" t="s">
        <v>156</v>
      </c>
      <c r="D22" s="14" t="s">
        <v>81</v>
      </c>
      <c r="E22" s="14"/>
      <c r="F22" s="14"/>
      <c r="G22" s="14"/>
      <c r="H22" s="13">
        <v>41</v>
      </c>
      <c r="I22" s="14" t="s">
        <v>156</v>
      </c>
      <c r="J22" s="15" t="s">
        <v>81</v>
      </c>
      <c r="K22" s="14"/>
      <c r="L22" s="14"/>
      <c r="M22" s="14" t="s">
        <v>157</v>
      </c>
    </row>
    <row r="26" spans="1:13" x14ac:dyDescent="0.25">
      <c r="D26" s="14" t="s">
        <v>81</v>
      </c>
    </row>
    <row r="27" spans="1:13" x14ac:dyDescent="0.25">
      <c r="D27" s="14" t="s">
        <v>399</v>
      </c>
    </row>
    <row r="28" spans="1:13" x14ac:dyDescent="0.25">
      <c r="D28" s="14" t="s">
        <v>400</v>
      </c>
    </row>
    <row r="29" spans="1:13" x14ac:dyDescent="0.25">
      <c r="D29" s="14" t="s">
        <v>431</v>
      </c>
    </row>
  </sheetData>
  <mergeCells count="6">
    <mergeCell ref="H8:M8"/>
    <mergeCell ref="H2:M2"/>
    <mergeCell ref="H15:M15"/>
    <mergeCell ref="B2:G2"/>
    <mergeCell ref="B8:G8"/>
    <mergeCell ref="B15:G15"/>
  </mergeCells>
  <conditionalFormatting sqref="D1:D25 D30:D1048576">
    <cfRule type="cellIs" dxfId="93" priority="10" operator="equal">
      <formula>""</formula>
    </cfRule>
    <cfRule type="cellIs" dxfId="92" priority="11" operator="equal">
      <formula>"Custom"</formula>
    </cfRule>
    <cfRule type="cellIs" dxfId="91" priority="12" operator="equal">
      <formula>"Vendor"</formula>
    </cfRule>
    <cfRule type="cellIs" dxfId="90" priority="13" operator="equal">
      <formula>"IT\OT"</formula>
    </cfRule>
    <cfRule type="cellIs" dxfId="89" priority="14" operator="equal">
      <formula>"Site"</formula>
    </cfRule>
  </conditionalFormatting>
  <conditionalFormatting sqref="D27:D29">
    <cfRule type="cellIs" dxfId="88" priority="6" operator="equal">
      <formula>"Custom"</formula>
    </cfRule>
    <cfRule type="cellIs" dxfId="87" priority="7" operator="equal">
      <formula>"Vendor"</formula>
    </cfRule>
    <cfRule type="cellIs" dxfId="86" priority="8" operator="equal">
      <formula>"IT\OT"</formula>
    </cfRule>
    <cfRule type="cellIs" dxfId="85" priority="9" operator="equal">
      <formula>"Site"</formula>
    </cfRule>
  </conditionalFormatting>
  <conditionalFormatting sqref="D26:D29">
    <cfRule type="cellIs" dxfId="84" priority="1" operator="equal">
      <formula>""</formula>
    </cfRule>
    <cfRule type="cellIs" dxfId="83" priority="2" operator="equal">
      <formula>"Custom"</formula>
    </cfRule>
    <cfRule type="cellIs" dxfId="82" priority="3" operator="equal">
      <formula>"Vendor"</formula>
    </cfRule>
    <cfRule type="cellIs" dxfId="81" priority="4" operator="equal">
      <formula>"IT\OT"</formula>
    </cfRule>
    <cfRule type="cellIs" dxfId="80" priority="5" operator="equal">
      <formula>"Site"</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3"/>
  <sheetViews>
    <sheetView topLeftCell="A13" workbookViewId="0">
      <selection activeCell="C30" sqref="C30"/>
    </sheetView>
  </sheetViews>
  <sheetFormatPr defaultRowHeight="15" x14ac:dyDescent="0.25"/>
  <cols>
    <col min="1" max="1" width="3.5703125" customWidth="1"/>
    <col min="2" max="2" width="8" customWidth="1"/>
    <col min="3" max="3" width="86.28515625" customWidth="1"/>
    <col min="4" max="5" width="12" customWidth="1"/>
    <col min="6" max="6" width="30" customWidth="1"/>
    <col min="7" max="7" width="25" customWidth="1"/>
    <col min="8" max="8" width="8" customWidth="1"/>
    <col min="9" max="9" width="71.42578125" customWidth="1"/>
    <col min="10" max="11" width="12" customWidth="1"/>
    <col min="12" max="12" width="30" customWidth="1"/>
    <col min="13" max="13" width="25" customWidth="1"/>
  </cols>
  <sheetData>
    <row r="1" spans="1:13" x14ac:dyDescent="0.25">
      <c r="A1" s="12" t="s">
        <v>358</v>
      </c>
      <c r="B1" s="12" t="s">
        <v>73</v>
      </c>
      <c r="C1" s="12" t="s">
        <v>74</v>
      </c>
      <c r="D1" s="12" t="s">
        <v>75</v>
      </c>
      <c r="E1" s="12" t="s">
        <v>76</v>
      </c>
      <c r="F1" s="12" t="s">
        <v>77</v>
      </c>
      <c r="G1" s="12" t="s">
        <v>78</v>
      </c>
      <c r="H1" s="12" t="s">
        <v>73</v>
      </c>
      <c r="I1" s="12" t="s">
        <v>74</v>
      </c>
      <c r="J1" s="12" t="s">
        <v>75</v>
      </c>
      <c r="K1" s="12" t="s">
        <v>76</v>
      </c>
      <c r="L1" s="12" t="s">
        <v>77</v>
      </c>
      <c r="M1" s="12" t="s">
        <v>78</v>
      </c>
    </row>
    <row r="2" spans="1:13" x14ac:dyDescent="0.25">
      <c r="A2" s="40">
        <v>1</v>
      </c>
      <c r="B2" s="29" t="s">
        <v>419</v>
      </c>
      <c r="C2" s="19"/>
      <c r="D2" s="19"/>
      <c r="E2" s="19"/>
      <c r="F2" s="19"/>
      <c r="G2" s="19"/>
      <c r="H2" s="18" t="s">
        <v>158</v>
      </c>
      <c r="I2" s="19"/>
      <c r="J2" s="19"/>
      <c r="K2" s="19"/>
      <c r="L2" s="19"/>
      <c r="M2" s="19"/>
    </row>
    <row r="3" spans="1:13" x14ac:dyDescent="0.25">
      <c r="A3" s="31">
        <f>IF(ISTEXT(B2), A2+1, A2)</f>
        <v>2</v>
      </c>
      <c r="B3" s="13">
        <v>1</v>
      </c>
      <c r="C3" t="s">
        <v>329</v>
      </c>
      <c r="D3" s="14" t="s">
        <v>81</v>
      </c>
      <c r="E3" s="14"/>
      <c r="F3" s="14"/>
      <c r="G3" s="14"/>
      <c r="H3" s="13">
        <v>72</v>
      </c>
      <c r="I3" s="14" t="s">
        <v>159</v>
      </c>
      <c r="J3" s="16" t="s">
        <v>85</v>
      </c>
      <c r="K3" s="14"/>
      <c r="L3" s="14"/>
      <c r="M3" s="14" t="s">
        <v>160</v>
      </c>
    </row>
    <row r="4" spans="1:13" x14ac:dyDescent="0.25">
      <c r="A4" s="31">
        <f t="shared" ref="A4:A8" si="0">IF(ISTEXT(B3), A3+1, A3)</f>
        <v>2</v>
      </c>
      <c r="B4" s="13">
        <f t="shared" ref="B4" si="1">IF(ISTEXT(B3), B2+1, B3+1)</f>
        <v>2</v>
      </c>
      <c r="C4" s="14" t="s">
        <v>328</v>
      </c>
      <c r="D4" s="14" t="s">
        <v>81</v>
      </c>
      <c r="E4" s="14"/>
      <c r="F4" s="14"/>
      <c r="G4" s="14"/>
      <c r="H4" s="13">
        <v>73</v>
      </c>
      <c r="I4" s="14" t="s">
        <v>161</v>
      </c>
      <c r="J4" s="16" t="s">
        <v>85</v>
      </c>
      <c r="K4" s="14"/>
      <c r="L4" s="14"/>
      <c r="M4" s="14" t="s">
        <v>162</v>
      </c>
    </row>
    <row r="5" spans="1:13" x14ac:dyDescent="0.25">
      <c r="A5" s="31">
        <f t="shared" si="0"/>
        <v>2</v>
      </c>
      <c r="B5" s="13">
        <f t="shared" ref="B5:B19" si="2">IF(ISTEXT(B4), B3+1, B4+1)</f>
        <v>3</v>
      </c>
      <c r="C5" s="14"/>
      <c r="D5" s="16"/>
      <c r="E5" s="14"/>
      <c r="F5" s="14"/>
      <c r="G5" s="14"/>
      <c r="H5" s="13">
        <v>74</v>
      </c>
      <c r="I5" s="14" t="s">
        <v>163</v>
      </c>
      <c r="J5" s="16" t="s">
        <v>85</v>
      </c>
      <c r="K5" s="14"/>
      <c r="L5" s="14"/>
      <c r="M5" s="14" t="s">
        <v>162</v>
      </c>
    </row>
    <row r="6" spans="1:13" x14ac:dyDescent="0.25">
      <c r="A6" s="40">
        <f t="shared" si="0"/>
        <v>2</v>
      </c>
      <c r="B6" s="29" t="s">
        <v>535</v>
      </c>
      <c r="C6" s="19"/>
      <c r="D6" s="19"/>
      <c r="E6" s="19"/>
      <c r="F6" s="19"/>
      <c r="G6" s="19"/>
      <c r="H6" s="13">
        <v>75</v>
      </c>
      <c r="I6" s="14" t="s">
        <v>164</v>
      </c>
      <c r="J6" s="16" t="s">
        <v>85</v>
      </c>
      <c r="K6" s="14"/>
      <c r="L6" s="14"/>
      <c r="M6" s="14" t="s">
        <v>162</v>
      </c>
    </row>
    <row r="7" spans="1:13" x14ac:dyDescent="0.25">
      <c r="A7" s="31">
        <f t="shared" si="0"/>
        <v>3</v>
      </c>
      <c r="B7" s="13">
        <f t="shared" si="2"/>
        <v>4</v>
      </c>
      <c r="C7" s="14" t="s">
        <v>318</v>
      </c>
      <c r="D7" s="14" t="s">
        <v>81</v>
      </c>
      <c r="E7" s="14"/>
      <c r="F7" s="14"/>
      <c r="G7" s="14"/>
      <c r="H7" s="13">
        <v>76</v>
      </c>
      <c r="I7" s="14" t="s">
        <v>165</v>
      </c>
      <c r="J7" s="16" t="s">
        <v>85</v>
      </c>
      <c r="K7" s="14"/>
      <c r="L7" s="14"/>
      <c r="M7" s="14" t="s">
        <v>162</v>
      </c>
    </row>
    <row r="8" spans="1:13" x14ac:dyDescent="0.25">
      <c r="A8" s="31">
        <f t="shared" si="0"/>
        <v>3</v>
      </c>
      <c r="B8" s="13">
        <f t="shared" si="2"/>
        <v>5</v>
      </c>
      <c r="C8" s="14" t="s">
        <v>319</v>
      </c>
      <c r="D8" s="14" t="s">
        <v>399</v>
      </c>
      <c r="E8" s="14"/>
      <c r="F8" s="14"/>
      <c r="G8" s="14"/>
      <c r="H8" s="13">
        <v>77</v>
      </c>
      <c r="I8" s="14" t="s">
        <v>166</v>
      </c>
      <c r="J8" s="15" t="s">
        <v>81</v>
      </c>
      <c r="K8" s="14"/>
      <c r="L8" s="14"/>
      <c r="M8" s="14" t="s">
        <v>167</v>
      </c>
    </row>
    <row r="9" spans="1:13" x14ac:dyDescent="0.25">
      <c r="A9" s="31"/>
      <c r="B9" s="13">
        <f t="shared" si="2"/>
        <v>6</v>
      </c>
      <c r="C9" s="14" t="s">
        <v>332</v>
      </c>
      <c r="D9" s="14" t="s">
        <v>400</v>
      </c>
      <c r="E9" s="14"/>
      <c r="F9" s="14"/>
      <c r="G9" s="14"/>
      <c r="H9" s="13"/>
      <c r="I9" s="14"/>
      <c r="J9" s="15"/>
      <c r="K9" s="14"/>
      <c r="L9" s="14"/>
      <c r="M9" s="14"/>
    </row>
    <row r="10" spans="1:13" x14ac:dyDescent="0.25">
      <c r="A10" s="31"/>
      <c r="B10" s="13">
        <f t="shared" si="2"/>
        <v>7</v>
      </c>
      <c r="C10" s="14" t="s">
        <v>330</v>
      </c>
      <c r="D10" s="14" t="s">
        <v>431</v>
      </c>
      <c r="E10" s="14"/>
      <c r="F10" s="14"/>
      <c r="G10" s="14"/>
      <c r="H10" s="13"/>
      <c r="I10" s="14"/>
      <c r="J10" s="15"/>
      <c r="K10" s="14"/>
      <c r="L10" s="14"/>
      <c r="M10" s="14"/>
    </row>
    <row r="11" spans="1:13" x14ac:dyDescent="0.25">
      <c r="A11" s="31"/>
      <c r="B11" s="13">
        <f t="shared" si="2"/>
        <v>8</v>
      </c>
      <c r="C11" s="14" t="s">
        <v>331</v>
      </c>
      <c r="D11" s="15"/>
      <c r="E11" s="14"/>
      <c r="F11" s="14"/>
      <c r="G11" s="14"/>
      <c r="H11" s="13"/>
      <c r="I11" s="14"/>
      <c r="J11" s="15"/>
      <c r="K11" s="14"/>
      <c r="L11" s="14"/>
      <c r="M11" s="14"/>
    </row>
    <row r="12" spans="1:13" x14ac:dyDescent="0.25">
      <c r="A12" s="31"/>
      <c r="B12" s="13">
        <f t="shared" si="2"/>
        <v>9</v>
      </c>
      <c r="C12" s="14" t="s">
        <v>536</v>
      </c>
      <c r="D12" s="15"/>
      <c r="E12" s="14"/>
      <c r="F12" s="14"/>
      <c r="G12" s="14"/>
      <c r="H12" s="13"/>
      <c r="I12" s="14"/>
      <c r="J12" s="15"/>
      <c r="K12" s="14"/>
      <c r="L12" s="14"/>
      <c r="M12" s="14"/>
    </row>
    <row r="13" spans="1:13" x14ac:dyDescent="0.25">
      <c r="A13" s="31"/>
      <c r="B13" s="13">
        <f t="shared" si="2"/>
        <v>10</v>
      </c>
      <c r="C13" s="14"/>
      <c r="D13" s="15"/>
      <c r="E13" s="14"/>
      <c r="F13" s="14"/>
      <c r="G13" s="14"/>
      <c r="H13" s="13"/>
      <c r="I13" s="14"/>
      <c r="J13" s="15"/>
      <c r="K13" s="14"/>
      <c r="L13" s="14"/>
      <c r="M13" s="14"/>
    </row>
    <row r="14" spans="1:13" x14ac:dyDescent="0.25">
      <c r="A14" s="31"/>
      <c r="B14" s="13">
        <f t="shared" si="2"/>
        <v>11</v>
      </c>
      <c r="C14" s="14"/>
      <c r="D14" s="15"/>
      <c r="E14" s="14"/>
      <c r="F14" s="14"/>
      <c r="G14" s="14"/>
      <c r="H14" s="13"/>
      <c r="I14" s="14"/>
      <c r="J14" s="15"/>
      <c r="K14" s="14"/>
      <c r="L14" s="14"/>
      <c r="M14" s="14"/>
    </row>
    <row r="15" spans="1:13" x14ac:dyDescent="0.25">
      <c r="A15" s="31"/>
      <c r="B15" s="13">
        <f t="shared" si="2"/>
        <v>12</v>
      </c>
      <c r="C15" s="14" t="s">
        <v>345</v>
      </c>
      <c r="D15" s="15"/>
      <c r="E15" s="14"/>
      <c r="F15" s="14"/>
      <c r="G15" s="14"/>
      <c r="H15" s="13"/>
      <c r="I15" s="14"/>
      <c r="J15" s="15"/>
      <c r="K15" s="14"/>
      <c r="L15" s="14"/>
      <c r="M15" s="14"/>
    </row>
    <row r="16" spans="1:13" x14ac:dyDescent="0.25">
      <c r="A16" s="31"/>
      <c r="B16" s="13">
        <f t="shared" si="2"/>
        <v>13</v>
      </c>
      <c r="C16" s="14"/>
      <c r="D16" s="15"/>
      <c r="E16" s="14"/>
      <c r="F16" s="14"/>
      <c r="G16" s="14"/>
      <c r="H16" s="13"/>
      <c r="I16" s="14"/>
      <c r="J16" s="15"/>
      <c r="K16" s="14"/>
      <c r="L16" s="14"/>
      <c r="M16" s="14"/>
    </row>
    <row r="17" spans="1:13" x14ac:dyDescent="0.25">
      <c r="A17" s="31"/>
      <c r="B17" s="13">
        <f t="shared" si="2"/>
        <v>14</v>
      </c>
      <c r="C17" s="14"/>
      <c r="D17" s="15"/>
      <c r="E17" s="14"/>
      <c r="F17" s="14"/>
      <c r="G17" s="14"/>
      <c r="H17" s="13"/>
      <c r="I17" s="14"/>
      <c r="J17" s="15"/>
      <c r="K17" s="14"/>
      <c r="L17" s="14"/>
      <c r="M17" s="14"/>
    </row>
    <row r="18" spans="1:13" x14ac:dyDescent="0.25">
      <c r="A18" s="31">
        <f>IF(ISTEXT(B8), A8+1, A8)</f>
        <v>3</v>
      </c>
      <c r="B18" s="13">
        <f t="shared" si="2"/>
        <v>15</v>
      </c>
      <c r="C18" s="14"/>
      <c r="D18" s="14"/>
      <c r="E18" s="14"/>
      <c r="F18" s="14"/>
      <c r="G18" s="14"/>
      <c r="H18" s="13">
        <v>78</v>
      </c>
      <c r="I18" s="14" t="s">
        <v>168</v>
      </c>
      <c r="J18" s="16" t="s">
        <v>85</v>
      </c>
      <c r="K18" s="14"/>
      <c r="L18" s="14"/>
      <c r="M18" s="14" t="s">
        <v>169</v>
      </c>
    </row>
    <row r="19" spans="1:13" x14ac:dyDescent="0.25">
      <c r="A19" s="31"/>
      <c r="B19" s="13">
        <f t="shared" si="2"/>
        <v>16</v>
      </c>
      <c r="C19" s="14"/>
      <c r="D19" s="14"/>
      <c r="E19" s="14"/>
      <c r="F19" s="14"/>
      <c r="G19" s="14"/>
      <c r="H19" s="13"/>
      <c r="I19" s="22"/>
      <c r="J19" s="46"/>
      <c r="K19" s="22"/>
      <c r="L19" s="22"/>
      <c r="M19" s="22"/>
    </row>
    <row r="20" spans="1:13" x14ac:dyDescent="0.25">
      <c r="A20" s="40">
        <f>IF(ISTEXT(B18), A18+1, A18)</f>
        <v>3</v>
      </c>
      <c r="B20" s="43" t="s">
        <v>420</v>
      </c>
      <c r="C20" s="44"/>
      <c r="D20" s="44"/>
      <c r="E20" s="44"/>
      <c r="F20" s="44"/>
      <c r="G20" s="45"/>
      <c r="H20" s="18" t="s">
        <v>170</v>
      </c>
      <c r="I20" s="19"/>
      <c r="J20" s="19"/>
      <c r="K20" s="19"/>
      <c r="L20" s="19"/>
      <c r="M20" s="19"/>
    </row>
    <row r="21" spans="1:13" x14ac:dyDescent="0.25">
      <c r="A21" s="31">
        <f>IF(ISTEXT(B20), A20+1, A20)</f>
        <v>4</v>
      </c>
      <c r="B21" s="13">
        <f>IF(ISTEXT(B20), B18+1, B20+1)</f>
        <v>16</v>
      </c>
      <c r="C21" s="14" t="s">
        <v>492</v>
      </c>
      <c r="D21" s="14" t="s">
        <v>81</v>
      </c>
      <c r="E21" s="14"/>
      <c r="F21" s="14"/>
      <c r="G21" s="14"/>
      <c r="H21" s="13">
        <v>79</v>
      </c>
      <c r="I21" s="14" t="s">
        <v>171</v>
      </c>
      <c r="J21" s="16" t="s">
        <v>85</v>
      </c>
      <c r="K21" s="14"/>
      <c r="L21" s="14"/>
      <c r="M21" s="14" t="s">
        <v>172</v>
      </c>
    </row>
    <row r="22" spans="1:13" x14ac:dyDescent="0.25">
      <c r="A22" s="31">
        <f>IF(ISTEXT(B21), A21+1, A21)</f>
        <v>4</v>
      </c>
      <c r="B22" s="13">
        <f>IF(ISTEXT(B21), B20+1, B21+1)</f>
        <v>17</v>
      </c>
      <c r="C22" s="14" t="s">
        <v>493</v>
      </c>
      <c r="D22" s="14" t="s">
        <v>81</v>
      </c>
      <c r="E22" s="14"/>
      <c r="F22" s="14"/>
      <c r="G22" s="14"/>
      <c r="H22" s="13">
        <v>80</v>
      </c>
      <c r="I22" s="14" t="s">
        <v>173</v>
      </c>
      <c r="J22" s="16" t="s">
        <v>85</v>
      </c>
      <c r="K22" s="14"/>
      <c r="L22" s="14"/>
      <c r="M22" s="14" t="s">
        <v>174</v>
      </c>
    </row>
    <row r="23" spans="1:13" x14ac:dyDescent="0.25">
      <c r="A23" s="31">
        <f>IF(ISTEXT(B22), A22+1, A22)</f>
        <v>4</v>
      </c>
      <c r="B23" s="13">
        <f>IF(ISTEXT(B22), B21+1, B22+1)</f>
        <v>18</v>
      </c>
      <c r="C23" s="14" t="s">
        <v>327</v>
      </c>
      <c r="D23" s="14" t="s">
        <v>81</v>
      </c>
      <c r="E23" s="14"/>
      <c r="F23" s="14"/>
      <c r="G23" s="14"/>
      <c r="H23" s="13">
        <v>81</v>
      </c>
      <c r="I23" s="14" t="s">
        <v>175</v>
      </c>
      <c r="J23" s="15" t="s">
        <v>81</v>
      </c>
      <c r="K23" s="14"/>
      <c r="L23" s="14"/>
      <c r="M23" s="14" t="s">
        <v>176</v>
      </c>
    </row>
    <row r="24" spans="1:13" x14ac:dyDescent="0.25">
      <c r="A24" s="31">
        <f>IF(ISTEXT(B23), A23+1, A23)</f>
        <v>4</v>
      </c>
      <c r="B24" s="13">
        <f>IF(ISTEXT(B23), B22+1, B23+1)</f>
        <v>19</v>
      </c>
      <c r="C24" s="14" t="s">
        <v>540</v>
      </c>
      <c r="D24" s="14" t="s">
        <v>81</v>
      </c>
      <c r="E24" s="14"/>
      <c r="F24" s="14"/>
      <c r="G24" s="14"/>
      <c r="H24" s="13">
        <v>82</v>
      </c>
      <c r="I24" s="14" t="s">
        <v>177</v>
      </c>
      <c r="J24" s="16" t="s">
        <v>85</v>
      </c>
      <c r="K24" s="14"/>
      <c r="L24" s="14"/>
      <c r="M24" s="14" t="s">
        <v>174</v>
      </c>
    </row>
    <row r="25" spans="1:13" x14ac:dyDescent="0.25">
      <c r="A25" s="31">
        <f>IF(ISTEXT(B24), A24+1, A24)</f>
        <v>4</v>
      </c>
      <c r="B25" s="13">
        <f>IF(ISTEXT(B24), B23+1, B24+1)</f>
        <v>20</v>
      </c>
      <c r="C25" s="14" t="s">
        <v>337</v>
      </c>
      <c r="D25" s="14" t="s">
        <v>81</v>
      </c>
      <c r="E25" s="14"/>
      <c r="F25" s="14"/>
      <c r="G25" s="14"/>
      <c r="H25" s="13"/>
      <c r="I25" s="14"/>
      <c r="J25" s="16"/>
      <c r="K25" s="14"/>
      <c r="L25" s="14"/>
      <c r="M25" s="14"/>
    </row>
    <row r="26" spans="1:13" x14ac:dyDescent="0.25">
      <c r="A26" s="31">
        <f>IF(ISTEXT(B25), A25+1, A25)</f>
        <v>4</v>
      </c>
      <c r="B26" s="13">
        <f>IF(ISTEXT(B25), B24+1, B25+1)</f>
        <v>21</v>
      </c>
      <c r="C26" s="14" t="s">
        <v>338</v>
      </c>
      <c r="D26" s="14" t="s">
        <v>81</v>
      </c>
      <c r="E26" s="14"/>
      <c r="F26" s="14"/>
      <c r="G26" s="14"/>
      <c r="H26" s="13">
        <v>83</v>
      </c>
      <c r="I26" s="14" t="s">
        <v>178</v>
      </c>
      <c r="J26" s="15" t="s">
        <v>81</v>
      </c>
      <c r="K26" s="14"/>
      <c r="L26" s="14"/>
      <c r="M26" s="14" t="s">
        <v>179</v>
      </c>
    </row>
    <row r="27" spans="1:13" x14ac:dyDescent="0.25">
      <c r="A27" s="31">
        <f>IF(ISTEXT(B26), A26+1, A26)</f>
        <v>4</v>
      </c>
      <c r="B27" s="13">
        <f>IF(ISTEXT(B26), B25+1, B26+1)</f>
        <v>22</v>
      </c>
      <c r="C27" s="14" t="s">
        <v>339</v>
      </c>
      <c r="D27" s="14" t="s">
        <v>81</v>
      </c>
      <c r="E27" s="14"/>
      <c r="F27" s="14"/>
      <c r="G27" s="14"/>
      <c r="H27" s="14"/>
      <c r="I27" s="14"/>
      <c r="J27" s="23"/>
      <c r="K27" s="22"/>
      <c r="L27" s="22"/>
      <c r="M27" s="22"/>
    </row>
    <row r="28" spans="1:13" x14ac:dyDescent="0.25">
      <c r="A28" s="31">
        <f>IF(ISTEXT(B27), A27+1, A27)</f>
        <v>4</v>
      </c>
      <c r="B28" s="13">
        <f>IF(ISTEXT(B27), B26+1, B27+1)</f>
        <v>23</v>
      </c>
      <c r="C28" s="14" t="s">
        <v>539</v>
      </c>
      <c r="D28" s="14" t="s">
        <v>81</v>
      </c>
      <c r="E28" s="14"/>
      <c r="F28" s="14"/>
      <c r="G28" s="14"/>
      <c r="H28" s="14"/>
      <c r="I28" s="14"/>
      <c r="J28" s="23"/>
      <c r="K28" s="22"/>
      <c r="L28" s="22"/>
      <c r="M28" s="22"/>
    </row>
    <row r="29" spans="1:13" x14ac:dyDescent="0.25">
      <c r="A29" s="31">
        <f>IF(ISTEXT(B28), A28+1, A28)</f>
        <v>4</v>
      </c>
      <c r="B29" s="13">
        <f>IF(ISTEXT(B28), B27+1, B28+1)</f>
        <v>24</v>
      </c>
      <c r="C29" s="14" t="s">
        <v>339</v>
      </c>
      <c r="D29" s="14" t="s">
        <v>81</v>
      </c>
      <c r="E29" s="14"/>
      <c r="F29" s="14"/>
      <c r="G29" s="14"/>
      <c r="H29" s="14"/>
      <c r="I29" s="14"/>
      <c r="J29" s="23"/>
      <c r="K29" s="22"/>
      <c r="L29" s="22"/>
      <c r="M29" s="22"/>
    </row>
    <row r="30" spans="1:13" x14ac:dyDescent="0.25">
      <c r="A30" s="31">
        <f>IF(ISTEXT(B29), A29+1, A29)</f>
        <v>4</v>
      </c>
      <c r="B30" s="13">
        <f>IF(ISTEXT(B29), B28+1, B29+1)</f>
        <v>25</v>
      </c>
      <c r="C30" s="14" t="s">
        <v>340</v>
      </c>
      <c r="D30" s="14" t="s">
        <v>81</v>
      </c>
      <c r="E30" s="14"/>
      <c r="F30" s="14"/>
      <c r="G30" s="14"/>
      <c r="H30" s="14"/>
      <c r="I30" s="14"/>
      <c r="J30" s="23"/>
      <c r="K30" s="22"/>
      <c r="L30" s="22"/>
      <c r="M30" s="22"/>
    </row>
    <row r="31" spans="1:13" x14ac:dyDescent="0.25">
      <c r="A31" s="40">
        <f>IF(ISTEXT(B30), A30+1, A30)</f>
        <v>4</v>
      </c>
      <c r="B31" s="43" t="s">
        <v>434</v>
      </c>
      <c r="C31" s="44"/>
      <c r="D31" s="44"/>
      <c r="E31" s="44"/>
      <c r="F31" s="44"/>
      <c r="G31" s="45"/>
      <c r="H31" s="18" t="s">
        <v>180</v>
      </c>
      <c r="I31" s="19"/>
      <c r="J31" s="19"/>
      <c r="K31" s="19"/>
      <c r="L31" s="19"/>
      <c r="M31" s="19"/>
    </row>
    <row r="32" spans="1:13" x14ac:dyDescent="0.25">
      <c r="A32" s="31">
        <f>IF(ISTEXT(B31), A31+1, A31)</f>
        <v>5</v>
      </c>
      <c r="B32" s="13">
        <f>IF(ISTEXT(B31), B30+1, B31+1)</f>
        <v>26</v>
      </c>
      <c r="C32" s="14" t="s">
        <v>537</v>
      </c>
      <c r="D32" s="16"/>
      <c r="E32" s="14"/>
      <c r="F32" s="14"/>
      <c r="G32" s="14"/>
      <c r="H32" s="13">
        <v>84</v>
      </c>
      <c r="I32" s="14" t="s">
        <v>181</v>
      </c>
      <c r="J32" s="16" t="s">
        <v>85</v>
      </c>
      <c r="K32" s="14"/>
      <c r="L32" s="14"/>
      <c r="M32" s="14" t="s">
        <v>182</v>
      </c>
    </row>
    <row r="33" spans="1:13" x14ac:dyDescent="0.25">
      <c r="A33" s="31">
        <f>IF(ISTEXT(B32), A32+1, A32)</f>
        <v>5</v>
      </c>
      <c r="B33" s="13">
        <f>IF(ISTEXT(B32), B31+1, B32+1)</f>
        <v>27</v>
      </c>
      <c r="C33" s="14"/>
      <c r="D33" s="16"/>
      <c r="E33" s="14"/>
      <c r="F33" s="14"/>
      <c r="G33" s="14"/>
      <c r="H33" s="13">
        <v>85</v>
      </c>
      <c r="I33" s="14" t="s">
        <v>183</v>
      </c>
      <c r="J33" s="16" t="s">
        <v>85</v>
      </c>
      <c r="K33" s="14"/>
      <c r="L33" s="14"/>
      <c r="M33" s="14" t="s">
        <v>184</v>
      </c>
    </row>
    <row r="34" spans="1:13" x14ac:dyDescent="0.25">
      <c r="A34" s="31">
        <f>IF(ISTEXT(B33), A33+1, A33)</f>
        <v>5</v>
      </c>
      <c r="B34" s="13">
        <f>IF(ISTEXT(B33), B32+1, B33+1)</f>
        <v>28</v>
      </c>
      <c r="C34" s="14"/>
      <c r="D34" s="15"/>
      <c r="E34" s="14"/>
      <c r="F34" s="14"/>
      <c r="G34" s="14"/>
      <c r="H34" s="13">
        <v>86</v>
      </c>
      <c r="I34" s="14" t="s">
        <v>185</v>
      </c>
      <c r="J34" s="15" t="s">
        <v>81</v>
      </c>
      <c r="K34" s="14"/>
      <c r="L34" s="14"/>
      <c r="M34" s="14" t="s">
        <v>186</v>
      </c>
    </row>
    <row r="35" spans="1:13" x14ac:dyDescent="0.25">
      <c r="A35" s="31">
        <f>IF(ISTEXT(B34), A34+1, A34)</f>
        <v>5</v>
      </c>
      <c r="B35" s="13">
        <f>IF(ISTEXT(B34), B33+1, B34+1)</f>
        <v>29</v>
      </c>
      <c r="C35" s="14"/>
      <c r="D35" s="15"/>
      <c r="E35" s="14"/>
      <c r="F35" s="14"/>
      <c r="G35" s="14"/>
      <c r="H35" s="13">
        <v>87</v>
      </c>
      <c r="I35" s="14" t="s">
        <v>187</v>
      </c>
      <c r="J35" s="15" t="s">
        <v>81</v>
      </c>
      <c r="K35" s="14"/>
      <c r="L35" s="14"/>
      <c r="M35" s="14" t="s">
        <v>188</v>
      </c>
    </row>
    <row r="36" spans="1:13" x14ac:dyDescent="0.25">
      <c r="A36" s="31">
        <f>IF(ISTEXT(B35), A35+1, A35)</f>
        <v>5</v>
      </c>
      <c r="B36" s="13">
        <f>IF(ISTEXT(B35), B34+1, B35+1)</f>
        <v>30</v>
      </c>
      <c r="C36" s="14"/>
      <c r="D36" s="16"/>
      <c r="E36" s="14"/>
      <c r="F36" s="14"/>
      <c r="G36" s="14"/>
      <c r="H36" s="13">
        <v>88</v>
      </c>
      <c r="I36" s="14" t="s">
        <v>189</v>
      </c>
      <c r="J36" s="16" t="s">
        <v>85</v>
      </c>
      <c r="K36" s="14"/>
      <c r="L36" s="14"/>
      <c r="M36" s="14" t="s">
        <v>190</v>
      </c>
    </row>
    <row r="37" spans="1:13" x14ac:dyDescent="0.25">
      <c r="A37" s="40">
        <f>IF(ISTEXT(B36), A36+1, A36)</f>
        <v>5</v>
      </c>
      <c r="B37" s="37" t="s">
        <v>421</v>
      </c>
      <c r="C37" s="38"/>
      <c r="D37" s="38"/>
      <c r="E37" s="38"/>
      <c r="F37" s="38"/>
      <c r="G37" s="42"/>
      <c r="H37" s="18" t="s">
        <v>191</v>
      </c>
      <c r="I37" s="19"/>
      <c r="J37" s="19"/>
      <c r="K37" s="19"/>
      <c r="L37" s="19"/>
      <c r="M37" s="19"/>
    </row>
    <row r="38" spans="1:13" x14ac:dyDescent="0.25">
      <c r="A38" s="31">
        <f>IF(ISTEXT(B37), A37+1, A37)</f>
        <v>6</v>
      </c>
      <c r="B38" s="13">
        <f>IF(ISTEXT(B37), B36+1, B37+1)</f>
        <v>31</v>
      </c>
      <c r="C38" s="14" t="s">
        <v>333</v>
      </c>
      <c r="D38" s="16"/>
      <c r="E38" s="14"/>
      <c r="F38" s="14"/>
      <c r="G38" s="14"/>
      <c r="H38" s="13">
        <v>89</v>
      </c>
      <c r="I38" s="14" t="s">
        <v>192</v>
      </c>
      <c r="J38" s="16" t="s">
        <v>85</v>
      </c>
      <c r="K38" s="14"/>
      <c r="L38" s="14"/>
      <c r="M38" s="14" t="s">
        <v>193</v>
      </c>
    </row>
    <row r="39" spans="1:13" x14ac:dyDescent="0.25">
      <c r="A39" s="31">
        <f>IF(ISTEXT(B38), A38+1, A38)</f>
        <v>6</v>
      </c>
      <c r="B39" s="13">
        <f>IF(ISTEXT(B38), B37+1, B38+1)</f>
        <v>32</v>
      </c>
      <c r="C39" s="14" t="s">
        <v>334</v>
      </c>
      <c r="D39" s="15"/>
      <c r="E39" s="14"/>
      <c r="F39" s="14"/>
      <c r="G39" s="14"/>
      <c r="H39" s="13">
        <v>90</v>
      </c>
      <c r="I39" s="14" t="s">
        <v>194</v>
      </c>
      <c r="J39" s="15" t="s">
        <v>81</v>
      </c>
      <c r="K39" s="14"/>
      <c r="L39" s="14"/>
      <c r="M39" s="14" t="s">
        <v>140</v>
      </c>
    </row>
    <row r="40" spans="1:13" x14ac:dyDescent="0.25">
      <c r="A40" s="31">
        <f>IF(ISTEXT(B39), A39+1, A39)</f>
        <v>6</v>
      </c>
      <c r="B40" s="13">
        <f>IF(ISTEXT(B39), B38+1, B39+1)</f>
        <v>33</v>
      </c>
      <c r="C40" s="14" t="s">
        <v>335</v>
      </c>
      <c r="D40" s="15"/>
      <c r="E40" s="14"/>
      <c r="F40" s="14"/>
      <c r="G40" s="14"/>
      <c r="H40" s="13">
        <v>91</v>
      </c>
      <c r="I40" s="14" t="s">
        <v>195</v>
      </c>
      <c r="J40" s="15" t="s">
        <v>81</v>
      </c>
      <c r="K40" s="14"/>
      <c r="L40" s="14"/>
      <c r="M40" s="14" t="s">
        <v>140</v>
      </c>
    </row>
    <row r="41" spans="1:13" x14ac:dyDescent="0.25">
      <c r="A41" s="31">
        <f>IF(ISTEXT(B40), A40+1, A40)</f>
        <v>6</v>
      </c>
      <c r="B41" s="13">
        <f>IF(ISTEXT(B40), B39+1, B40+1)</f>
        <v>34</v>
      </c>
      <c r="C41" s="14"/>
      <c r="D41" s="15"/>
      <c r="E41" s="14"/>
      <c r="F41" s="14"/>
      <c r="G41" s="14"/>
      <c r="H41" s="13">
        <v>92</v>
      </c>
      <c r="I41" s="14" t="s">
        <v>196</v>
      </c>
      <c r="J41" s="15" t="s">
        <v>81</v>
      </c>
      <c r="K41" s="14"/>
      <c r="L41" s="14"/>
      <c r="M41" s="14" t="s">
        <v>140</v>
      </c>
    </row>
    <row r="42" spans="1:13" x14ac:dyDescent="0.25">
      <c r="A42" s="31">
        <f>IF(ISTEXT(B41), A41+1, A41)</f>
        <v>6</v>
      </c>
      <c r="B42" s="13">
        <f>IF(ISTEXT(B41), B40+1, B41+1)</f>
        <v>35</v>
      </c>
      <c r="C42" s="14"/>
      <c r="D42" s="15"/>
      <c r="E42" s="14"/>
      <c r="F42" s="14"/>
      <c r="G42" s="14"/>
      <c r="H42" s="13">
        <v>93</v>
      </c>
      <c r="I42" s="14" t="s">
        <v>197</v>
      </c>
      <c r="J42" s="15" t="s">
        <v>81</v>
      </c>
      <c r="K42" s="14"/>
      <c r="L42" s="14"/>
      <c r="M42" s="14" t="s">
        <v>198</v>
      </c>
    </row>
    <row r="43" spans="1:13" x14ac:dyDescent="0.25">
      <c r="A43" s="40">
        <f>IF(ISTEXT(B42), A42+1, A42)</f>
        <v>6</v>
      </c>
      <c r="B43" s="37" t="s">
        <v>422</v>
      </c>
      <c r="C43" s="38"/>
      <c r="D43" s="38"/>
      <c r="E43" s="38"/>
      <c r="F43" s="38"/>
      <c r="G43" s="42"/>
      <c r="H43" s="18" t="s">
        <v>199</v>
      </c>
      <c r="I43" s="19"/>
      <c r="J43" s="19"/>
      <c r="K43" s="19"/>
      <c r="L43" s="19"/>
      <c r="M43" s="19"/>
    </row>
    <row r="44" spans="1:13" x14ac:dyDescent="0.25">
      <c r="A44" s="31">
        <f>IF(ISTEXT(B43), A43+1, A43)</f>
        <v>7</v>
      </c>
      <c r="B44" s="13">
        <f>IF(ISTEXT(B43), B42+1, B43+1)</f>
        <v>36</v>
      </c>
      <c r="C44" s="14" t="s">
        <v>336</v>
      </c>
      <c r="D44" s="16"/>
      <c r="E44" s="14"/>
      <c r="F44" s="14"/>
      <c r="G44" s="14"/>
      <c r="H44" s="13">
        <v>94</v>
      </c>
      <c r="I44" s="14" t="s">
        <v>200</v>
      </c>
      <c r="J44" s="16" t="s">
        <v>85</v>
      </c>
      <c r="K44" s="14"/>
      <c r="L44" s="14"/>
      <c r="M44" s="14" t="s">
        <v>201</v>
      </c>
    </row>
    <row r="45" spans="1:13" x14ac:dyDescent="0.25">
      <c r="A45" s="31">
        <f>IF(ISTEXT(B44), A44+1, A44)</f>
        <v>7</v>
      </c>
      <c r="B45" s="13">
        <f>IF(ISTEXT(B44), B43+1, B44+1)</f>
        <v>37</v>
      </c>
      <c r="C45" s="14" t="s">
        <v>538</v>
      </c>
      <c r="D45" s="16"/>
      <c r="E45" s="14"/>
      <c r="F45" s="14"/>
      <c r="G45" s="14"/>
      <c r="H45" s="13">
        <v>95</v>
      </c>
      <c r="I45" s="14" t="s">
        <v>202</v>
      </c>
      <c r="J45" s="16" t="s">
        <v>85</v>
      </c>
      <c r="K45" s="14"/>
      <c r="L45" s="14"/>
      <c r="M45" s="14" t="s">
        <v>203</v>
      </c>
    </row>
    <row r="46" spans="1:13" x14ac:dyDescent="0.25">
      <c r="A46" s="31">
        <f>IF(ISTEXT(B45), A45+1, A45)</f>
        <v>7</v>
      </c>
      <c r="B46" s="13">
        <f>IF(ISTEXT(B45), B44+1, B45+1)</f>
        <v>38</v>
      </c>
      <c r="C46" s="14"/>
      <c r="D46" s="16"/>
      <c r="E46" s="14"/>
      <c r="F46" s="14"/>
      <c r="G46" s="14"/>
      <c r="H46" s="13">
        <v>96</v>
      </c>
      <c r="I46" s="14" t="s">
        <v>204</v>
      </c>
      <c r="J46" s="16" t="s">
        <v>85</v>
      </c>
      <c r="K46" s="14"/>
      <c r="L46" s="14"/>
      <c r="M46" s="14" t="s">
        <v>203</v>
      </c>
    </row>
    <row r="47" spans="1:13" x14ac:dyDescent="0.25">
      <c r="A47" s="31">
        <f>IF(ISTEXT(B46), A46+1, A46)</f>
        <v>7</v>
      </c>
      <c r="B47" s="13">
        <f>IF(ISTEXT(B46), B45+1, B46+1)</f>
        <v>39</v>
      </c>
      <c r="C47" s="14"/>
      <c r="D47" s="15"/>
      <c r="E47" s="14"/>
      <c r="F47" s="14"/>
      <c r="G47" s="14"/>
      <c r="H47" s="13">
        <v>97</v>
      </c>
      <c r="I47" s="14" t="s">
        <v>205</v>
      </c>
      <c r="J47" s="15" t="s">
        <v>81</v>
      </c>
      <c r="K47" s="14"/>
      <c r="L47" s="14"/>
      <c r="M47" s="14" t="s">
        <v>206</v>
      </c>
    </row>
    <row r="48" spans="1:13" x14ac:dyDescent="0.25">
      <c r="A48" s="39">
        <f>IF(ISTEXT(B47), A47+1, A47)</f>
        <v>7</v>
      </c>
      <c r="B48" s="37" t="s">
        <v>423</v>
      </c>
      <c r="C48" s="38"/>
      <c r="D48" s="38"/>
      <c r="E48" s="38"/>
      <c r="F48" s="38"/>
      <c r="G48" s="42"/>
      <c r="H48" s="18" t="s">
        <v>207</v>
      </c>
      <c r="I48" s="19"/>
      <c r="J48" s="19"/>
      <c r="K48" s="19"/>
      <c r="L48" s="19"/>
      <c r="M48" s="19"/>
    </row>
    <row r="49" spans="1:13" x14ac:dyDescent="0.25">
      <c r="A49" s="31">
        <f>IF(ISTEXT(B48), A48+1, A48)</f>
        <v>8</v>
      </c>
      <c r="B49" s="13">
        <f>IF(ISTEXT(B48), B47+1, B48+1)</f>
        <v>40</v>
      </c>
      <c r="C49" s="14" t="s">
        <v>445</v>
      </c>
      <c r="D49" s="16"/>
      <c r="E49" s="14"/>
      <c r="F49" s="14"/>
      <c r="G49" s="14"/>
      <c r="H49" s="13">
        <v>98</v>
      </c>
      <c r="I49" s="14" t="s">
        <v>208</v>
      </c>
      <c r="J49" s="16" t="s">
        <v>85</v>
      </c>
      <c r="K49" s="14"/>
      <c r="L49" s="14"/>
      <c r="M49" s="14" t="s">
        <v>209</v>
      </c>
    </row>
    <row r="50" spans="1:13" x14ac:dyDescent="0.25">
      <c r="A50" s="31">
        <f>IF(ISTEXT(B49), A49+1, A49)</f>
        <v>8</v>
      </c>
      <c r="B50" s="13">
        <f>IF(ISTEXT(B49), B48+1, B49+1)</f>
        <v>41</v>
      </c>
      <c r="C50" s="14"/>
      <c r="D50" s="15"/>
      <c r="E50" s="14"/>
      <c r="F50" s="14"/>
      <c r="G50" s="14"/>
      <c r="H50" s="13">
        <v>99</v>
      </c>
      <c r="I50" s="14" t="s">
        <v>210</v>
      </c>
      <c r="J50" s="15" t="s">
        <v>81</v>
      </c>
      <c r="K50" s="14"/>
      <c r="L50" s="14"/>
      <c r="M50" s="14" t="s">
        <v>211</v>
      </c>
    </row>
    <row r="51" spans="1:13" x14ac:dyDescent="0.25">
      <c r="A51" s="31">
        <f>IF(ISTEXT(B50), A50+1, A50)</f>
        <v>8</v>
      </c>
      <c r="B51" s="13">
        <f>IF(ISTEXT(B50), B49+1, B50+1)</f>
        <v>42</v>
      </c>
      <c r="C51" s="14"/>
      <c r="D51" s="15"/>
      <c r="E51" s="14"/>
      <c r="F51" s="14"/>
      <c r="G51" s="14"/>
      <c r="H51" s="13">
        <v>100</v>
      </c>
      <c r="I51" s="14" t="s">
        <v>212</v>
      </c>
      <c r="J51" s="15" t="s">
        <v>81</v>
      </c>
      <c r="K51" s="14"/>
      <c r="L51" s="14"/>
      <c r="M51" s="14" t="s">
        <v>213</v>
      </c>
    </row>
    <row r="52" spans="1:13" x14ac:dyDescent="0.25">
      <c r="A52" s="31">
        <f>IF(ISTEXT(B51), A51+1, A51)</f>
        <v>8</v>
      </c>
      <c r="B52" s="13">
        <f>IF(ISTEXT(B51), B50+1, B51+1)</f>
        <v>43</v>
      </c>
      <c r="C52" s="14"/>
      <c r="D52" s="16"/>
      <c r="E52" s="14"/>
      <c r="F52" s="14"/>
      <c r="G52" s="14"/>
      <c r="H52" s="13">
        <v>101</v>
      </c>
      <c r="I52" s="14" t="s">
        <v>214</v>
      </c>
      <c r="J52" s="16" t="s">
        <v>85</v>
      </c>
      <c r="K52" s="14"/>
      <c r="L52" s="14"/>
      <c r="M52" s="14" t="s">
        <v>209</v>
      </c>
    </row>
    <row r="53" spans="1:13" x14ac:dyDescent="0.25">
      <c r="A53" s="31">
        <f>IF(ISTEXT(B52), A52+1, A52)</f>
        <v>8</v>
      </c>
      <c r="B53" s="13">
        <f>IF(ISTEXT(B52), B51+1, B52+1)</f>
        <v>44</v>
      </c>
      <c r="C53" s="14"/>
      <c r="D53" s="15"/>
      <c r="E53" s="14"/>
      <c r="F53" s="14"/>
      <c r="G53" s="14"/>
      <c r="H53" s="13">
        <v>102</v>
      </c>
      <c r="I53" s="14" t="s">
        <v>215</v>
      </c>
      <c r="J53" s="15" t="s">
        <v>81</v>
      </c>
      <c r="K53" s="14"/>
      <c r="L53" s="14"/>
      <c r="M53" s="14" t="s">
        <v>216</v>
      </c>
    </row>
    <row r="54" spans="1:13" x14ac:dyDescent="0.25">
      <c r="A54" s="31">
        <f>IF(ISTEXT(B53), A53+1, A53)</f>
        <v>8</v>
      </c>
      <c r="B54" s="13">
        <f>IF(ISTEXT(B53), B52+1, B53+1)</f>
        <v>45</v>
      </c>
      <c r="C54" s="14"/>
      <c r="D54" s="16"/>
      <c r="E54" s="14"/>
      <c r="F54" s="14"/>
      <c r="G54" s="14"/>
      <c r="H54" s="13">
        <v>103</v>
      </c>
      <c r="I54" s="14" t="s">
        <v>217</v>
      </c>
      <c r="J54" s="16" t="s">
        <v>85</v>
      </c>
      <c r="K54" s="14"/>
      <c r="L54" s="14"/>
      <c r="M54" s="14" t="s">
        <v>218</v>
      </c>
    </row>
    <row r="55" spans="1:13" x14ac:dyDescent="0.25">
      <c r="A55" s="31">
        <f>IF(ISTEXT(B54), A54+1, A54)</f>
        <v>8</v>
      </c>
      <c r="B55" s="13">
        <f>IF(ISTEXT(B54), B53+1, B54+1)</f>
        <v>46</v>
      </c>
      <c r="C55" s="14"/>
      <c r="D55" s="15"/>
      <c r="E55" s="14"/>
      <c r="F55" s="14"/>
      <c r="G55" s="14"/>
      <c r="H55" s="13">
        <v>104</v>
      </c>
      <c r="I55" s="14" t="s">
        <v>219</v>
      </c>
      <c r="J55" s="15" t="s">
        <v>81</v>
      </c>
      <c r="K55" s="14"/>
      <c r="L55" s="14"/>
      <c r="M55" s="14" t="s">
        <v>218</v>
      </c>
    </row>
    <row r="60" spans="1:13" x14ac:dyDescent="0.25">
      <c r="D60" s="14" t="s">
        <v>81</v>
      </c>
    </row>
    <row r="61" spans="1:13" x14ac:dyDescent="0.25">
      <c r="D61" s="14" t="s">
        <v>399</v>
      </c>
    </row>
    <row r="62" spans="1:13" x14ac:dyDescent="0.25">
      <c r="D62" s="14" t="s">
        <v>400</v>
      </c>
    </row>
    <row r="63" spans="1:13" x14ac:dyDescent="0.25">
      <c r="D63" s="14" t="s">
        <v>431</v>
      </c>
    </row>
  </sheetData>
  <mergeCells count="13">
    <mergeCell ref="H48:M48"/>
    <mergeCell ref="B37:G37"/>
    <mergeCell ref="B43:G43"/>
    <mergeCell ref="B48:G48"/>
    <mergeCell ref="B31:G31"/>
    <mergeCell ref="H2:M2"/>
    <mergeCell ref="H20:M20"/>
    <mergeCell ref="H31:M31"/>
    <mergeCell ref="H37:M37"/>
    <mergeCell ref="H43:M43"/>
    <mergeCell ref="B2:G2"/>
    <mergeCell ref="B20:G20"/>
    <mergeCell ref="B6:G6"/>
  </mergeCells>
  <conditionalFormatting sqref="D7:D10">
    <cfRule type="cellIs" dxfId="79" priority="23" operator="equal">
      <formula>"Custom"</formula>
    </cfRule>
    <cfRule type="cellIs" dxfId="78" priority="24" operator="equal">
      <formula>"Vendor"</formula>
    </cfRule>
    <cfRule type="cellIs" dxfId="77" priority="25" operator="equal">
      <formula>"IT\OT"</formula>
    </cfRule>
    <cfRule type="cellIs" dxfId="76" priority="26" operator="equal">
      <formula>"Site"</formula>
    </cfRule>
  </conditionalFormatting>
  <conditionalFormatting sqref="D1:D59 D64:D1048576">
    <cfRule type="cellIs" dxfId="75" priority="18" operator="equal">
      <formula>""</formula>
    </cfRule>
    <cfRule type="cellIs" dxfId="74" priority="19" operator="equal">
      <formula>"Custom"</formula>
    </cfRule>
    <cfRule type="cellIs" dxfId="73" priority="20" operator="equal">
      <formula>"Vendor"</formula>
    </cfRule>
    <cfRule type="cellIs" dxfId="72" priority="21" operator="equal">
      <formula>"IT\OT"</formula>
    </cfRule>
    <cfRule type="cellIs" dxfId="71" priority="22" operator="equal">
      <formula>"Site"</formula>
    </cfRule>
  </conditionalFormatting>
  <conditionalFormatting sqref="D21:D30">
    <cfRule type="cellIs" dxfId="70" priority="14" operator="equal">
      <formula>"Custom"</formula>
    </cfRule>
    <cfRule type="cellIs" dxfId="69" priority="15" operator="equal">
      <formula>"Vendor"</formula>
    </cfRule>
    <cfRule type="cellIs" dxfId="68" priority="16" operator="equal">
      <formula>"IT\OT"</formula>
    </cfRule>
    <cfRule type="cellIs" dxfId="67" priority="17" operator="equal">
      <formula>"Site"</formula>
    </cfRule>
  </conditionalFormatting>
  <conditionalFormatting sqref="D21:D30">
    <cfRule type="cellIs" dxfId="66" priority="10" operator="equal">
      <formula>"Custom"</formula>
    </cfRule>
    <cfRule type="cellIs" dxfId="65" priority="11" operator="equal">
      <formula>"Vendor"</formula>
    </cfRule>
    <cfRule type="cellIs" dxfId="64" priority="12" operator="equal">
      <formula>"IT\OT"</formula>
    </cfRule>
    <cfRule type="cellIs" dxfId="63" priority="13" operator="equal">
      <formula>"Site"</formula>
    </cfRule>
  </conditionalFormatting>
  <conditionalFormatting sqref="D61:D63">
    <cfRule type="cellIs" dxfId="62" priority="6" operator="equal">
      <formula>"Custom"</formula>
    </cfRule>
    <cfRule type="cellIs" dxfId="61" priority="7" operator="equal">
      <formula>"Vendor"</formula>
    </cfRule>
    <cfRule type="cellIs" dxfId="60" priority="8" operator="equal">
      <formula>"IT\OT"</formula>
    </cfRule>
    <cfRule type="cellIs" dxfId="59" priority="9" operator="equal">
      <formula>"Site"</formula>
    </cfRule>
  </conditionalFormatting>
  <conditionalFormatting sqref="D60:D63">
    <cfRule type="cellIs" dxfId="58" priority="1" operator="equal">
      <formula>""</formula>
    </cfRule>
    <cfRule type="cellIs" dxfId="57" priority="2" operator="equal">
      <formula>"Custom"</formula>
    </cfRule>
    <cfRule type="cellIs" dxfId="56" priority="3" operator="equal">
      <formula>"Vendor"</formula>
    </cfRule>
    <cfRule type="cellIs" dxfId="55" priority="4" operator="equal">
      <formula>"IT\OT"</formula>
    </cfRule>
    <cfRule type="cellIs" dxfId="54" priority="5" operator="equal">
      <formula>"Site"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4"/>
  <sheetViews>
    <sheetView topLeftCell="A27" workbookViewId="0">
      <selection activeCell="C47" sqref="C47"/>
    </sheetView>
  </sheetViews>
  <sheetFormatPr defaultRowHeight="15" x14ac:dyDescent="0.25"/>
  <cols>
    <col min="1" max="1" width="3.5703125" customWidth="1"/>
    <col min="2" max="2" width="8" customWidth="1"/>
    <col min="3" max="3" width="63.28515625" customWidth="1"/>
    <col min="4" max="5" width="12" customWidth="1"/>
    <col min="6" max="6" width="30" customWidth="1"/>
    <col min="7" max="7" width="38.140625" customWidth="1"/>
    <col min="8" max="8" width="8" customWidth="1"/>
    <col min="9" max="9" width="80" customWidth="1"/>
    <col min="10" max="11" width="12" customWidth="1"/>
    <col min="12" max="12" width="30" customWidth="1"/>
    <col min="13" max="13" width="25" customWidth="1"/>
  </cols>
  <sheetData>
    <row r="1" spans="1:13" x14ac:dyDescent="0.25">
      <c r="A1" s="12" t="s">
        <v>358</v>
      </c>
      <c r="B1" s="12" t="s">
        <v>73</v>
      </c>
      <c r="C1" s="12" t="s">
        <v>74</v>
      </c>
      <c r="D1" s="12" t="s">
        <v>75</v>
      </c>
      <c r="E1" s="12" t="s">
        <v>76</v>
      </c>
      <c r="F1" s="12" t="s">
        <v>77</v>
      </c>
      <c r="G1" s="12" t="s">
        <v>485</v>
      </c>
      <c r="H1" s="12" t="s">
        <v>73</v>
      </c>
      <c r="I1" s="12" t="s">
        <v>74</v>
      </c>
      <c r="J1" s="12" t="s">
        <v>75</v>
      </c>
      <c r="K1" s="12" t="s">
        <v>76</v>
      </c>
      <c r="L1" s="12" t="s">
        <v>77</v>
      </c>
      <c r="M1" s="12" t="s">
        <v>78</v>
      </c>
    </row>
    <row r="2" spans="1:13" x14ac:dyDescent="0.25">
      <c r="A2" s="40">
        <v>1</v>
      </c>
      <c r="B2" s="29" t="s">
        <v>415</v>
      </c>
      <c r="C2" s="19"/>
      <c r="D2" s="19"/>
      <c r="E2" s="19"/>
      <c r="F2" s="19"/>
      <c r="G2" s="19"/>
      <c r="H2" s="18" t="s">
        <v>220</v>
      </c>
      <c r="I2" s="19"/>
      <c r="J2" s="19"/>
      <c r="K2" s="19"/>
      <c r="L2" s="19"/>
      <c r="M2" s="19"/>
    </row>
    <row r="3" spans="1:13" x14ac:dyDescent="0.25">
      <c r="A3" s="31">
        <f>IF(ISTEXT(B2), A2+1, A2)</f>
        <v>2</v>
      </c>
      <c r="B3" s="13">
        <v>1</v>
      </c>
      <c r="C3" s="14"/>
      <c r="D3" s="14" t="s">
        <v>81</v>
      </c>
      <c r="E3" s="14"/>
      <c r="F3" s="14"/>
      <c r="G3" s="14"/>
      <c r="H3" s="13">
        <v>105</v>
      </c>
      <c r="I3" s="14" t="s">
        <v>221</v>
      </c>
      <c r="J3" s="15" t="s">
        <v>81</v>
      </c>
      <c r="K3" s="14"/>
      <c r="L3" s="14"/>
      <c r="M3" s="14" t="s">
        <v>218</v>
      </c>
    </row>
    <row r="4" spans="1:13" x14ac:dyDescent="0.25">
      <c r="A4" s="31">
        <f t="shared" ref="A4:A35" si="0">IF(ISTEXT(B3), A3+1, A3)</f>
        <v>2</v>
      </c>
      <c r="B4" s="13">
        <f t="shared" ref="B4:B9" si="1">IF(ISTEXT(B3), B2+1, B3+1)</f>
        <v>2</v>
      </c>
      <c r="C4" s="14"/>
      <c r="D4" s="14" t="s">
        <v>399</v>
      </c>
      <c r="E4" s="14"/>
      <c r="F4" s="14"/>
      <c r="G4" s="14"/>
      <c r="H4" s="13">
        <v>106</v>
      </c>
      <c r="I4" s="14" t="s">
        <v>222</v>
      </c>
      <c r="J4" s="15" t="s">
        <v>81</v>
      </c>
      <c r="K4" s="14"/>
      <c r="L4" s="14"/>
      <c r="M4" s="14" t="s">
        <v>223</v>
      </c>
    </row>
    <row r="5" spans="1:13" x14ac:dyDescent="0.25">
      <c r="A5" s="31">
        <f t="shared" si="0"/>
        <v>2</v>
      </c>
      <c r="B5" s="13">
        <f t="shared" si="1"/>
        <v>3</v>
      </c>
      <c r="C5" s="14"/>
      <c r="D5" s="14" t="s">
        <v>400</v>
      </c>
      <c r="E5" s="14"/>
      <c r="F5" s="14"/>
      <c r="G5" s="14"/>
      <c r="H5" s="13">
        <v>107</v>
      </c>
      <c r="I5" s="14" t="s">
        <v>224</v>
      </c>
      <c r="J5" s="15" t="s">
        <v>81</v>
      </c>
      <c r="K5" s="14"/>
      <c r="L5" s="14"/>
      <c r="M5" s="14" t="s">
        <v>225</v>
      </c>
    </row>
    <row r="6" spans="1:13" x14ac:dyDescent="0.25">
      <c r="A6" s="31">
        <f t="shared" si="0"/>
        <v>2</v>
      </c>
      <c r="B6" s="13">
        <f t="shared" si="1"/>
        <v>4</v>
      </c>
      <c r="C6" s="14"/>
      <c r="D6" s="14" t="s">
        <v>431</v>
      </c>
      <c r="E6" s="14"/>
      <c r="F6" s="14"/>
      <c r="G6" s="14"/>
      <c r="H6" s="13">
        <v>108</v>
      </c>
      <c r="I6" s="14" t="s">
        <v>226</v>
      </c>
      <c r="J6" s="15" t="s">
        <v>81</v>
      </c>
      <c r="K6" s="14"/>
      <c r="L6" s="14"/>
      <c r="M6" s="14" t="s">
        <v>227</v>
      </c>
    </row>
    <row r="7" spans="1:13" x14ac:dyDescent="0.25">
      <c r="A7" s="31">
        <f t="shared" si="0"/>
        <v>2</v>
      </c>
      <c r="B7" s="13">
        <f t="shared" si="1"/>
        <v>5</v>
      </c>
      <c r="C7" s="14"/>
      <c r="D7" s="15"/>
      <c r="E7" s="14"/>
      <c r="F7" s="14"/>
      <c r="G7" s="14"/>
      <c r="H7" s="13">
        <v>109</v>
      </c>
      <c r="I7" s="14" t="s">
        <v>228</v>
      </c>
      <c r="J7" s="15" t="s">
        <v>81</v>
      </c>
      <c r="K7" s="14"/>
      <c r="L7" s="14"/>
      <c r="M7" s="14" t="s">
        <v>229</v>
      </c>
    </row>
    <row r="8" spans="1:13" x14ac:dyDescent="0.25">
      <c r="A8" s="31">
        <f t="shared" si="0"/>
        <v>2</v>
      </c>
      <c r="B8" s="13">
        <f t="shared" si="1"/>
        <v>6</v>
      </c>
      <c r="C8" s="14"/>
      <c r="D8" s="15"/>
      <c r="E8" s="14"/>
      <c r="F8" s="14"/>
      <c r="G8" s="14"/>
      <c r="H8" s="13">
        <v>110</v>
      </c>
      <c r="I8" s="14" t="s">
        <v>230</v>
      </c>
      <c r="J8" s="15" t="s">
        <v>81</v>
      </c>
      <c r="K8" s="14"/>
      <c r="L8" s="14"/>
      <c r="M8" s="14" t="s">
        <v>231</v>
      </c>
    </row>
    <row r="9" spans="1:13" x14ac:dyDescent="0.25">
      <c r="A9" s="31">
        <f t="shared" si="0"/>
        <v>2</v>
      </c>
      <c r="B9" s="13">
        <f t="shared" si="1"/>
        <v>7</v>
      </c>
      <c r="C9" s="14"/>
      <c r="D9" s="15"/>
      <c r="E9" s="14"/>
      <c r="F9" s="14"/>
      <c r="G9" s="14"/>
      <c r="H9" s="13">
        <v>111</v>
      </c>
      <c r="I9" s="14" t="s">
        <v>232</v>
      </c>
      <c r="J9" s="15" t="s">
        <v>81</v>
      </c>
      <c r="K9" s="14"/>
      <c r="L9" s="14"/>
      <c r="M9" s="14" t="s">
        <v>233</v>
      </c>
    </row>
    <row r="10" spans="1:13" x14ac:dyDescent="0.25">
      <c r="A10" s="40">
        <f t="shared" si="0"/>
        <v>2</v>
      </c>
      <c r="B10" s="29" t="s">
        <v>416</v>
      </c>
      <c r="C10" s="19"/>
      <c r="D10" s="19"/>
      <c r="E10" s="19"/>
      <c r="F10" s="19"/>
      <c r="G10" s="19"/>
      <c r="H10" s="18" t="s">
        <v>234</v>
      </c>
      <c r="I10" s="19"/>
      <c r="J10" s="19"/>
      <c r="K10" s="19"/>
      <c r="L10" s="19"/>
      <c r="M10" s="19"/>
    </row>
    <row r="11" spans="1:13" x14ac:dyDescent="0.25">
      <c r="A11" s="31">
        <f t="shared" si="0"/>
        <v>3</v>
      </c>
      <c r="B11" s="13">
        <f t="shared" ref="B11:B16" si="2">IF(ISTEXT(B10), B9+1, B10+1)</f>
        <v>8</v>
      </c>
      <c r="C11" s="14" t="s">
        <v>514</v>
      </c>
      <c r="D11" s="16"/>
      <c r="E11" s="14"/>
      <c r="F11" s="14"/>
      <c r="G11" s="14"/>
      <c r="H11" s="13">
        <v>112</v>
      </c>
      <c r="I11" s="14" t="s">
        <v>235</v>
      </c>
      <c r="J11" s="16" t="s">
        <v>85</v>
      </c>
      <c r="K11" s="14"/>
      <c r="L11" s="14"/>
      <c r="M11" s="14" t="s">
        <v>233</v>
      </c>
    </row>
    <row r="12" spans="1:13" ht="17.25" customHeight="1" x14ac:dyDescent="0.25">
      <c r="A12" s="31">
        <f t="shared" si="0"/>
        <v>3</v>
      </c>
      <c r="B12" s="13">
        <f t="shared" si="2"/>
        <v>9</v>
      </c>
      <c r="C12" s="14" t="s">
        <v>515</v>
      </c>
      <c r="D12" s="16"/>
      <c r="E12" s="14"/>
      <c r="F12" s="14"/>
      <c r="G12" s="14"/>
      <c r="H12" s="13">
        <v>113</v>
      </c>
      <c r="I12" s="14" t="s">
        <v>236</v>
      </c>
      <c r="J12" s="16" t="s">
        <v>85</v>
      </c>
      <c r="K12" s="14"/>
      <c r="L12" s="14"/>
      <c r="M12" s="14" t="s">
        <v>233</v>
      </c>
    </row>
    <row r="13" spans="1:13" x14ac:dyDescent="0.25">
      <c r="A13" s="31">
        <f t="shared" si="0"/>
        <v>3</v>
      </c>
      <c r="B13" s="13">
        <f t="shared" si="2"/>
        <v>10</v>
      </c>
      <c r="C13" s="14" t="s">
        <v>516</v>
      </c>
      <c r="D13" s="16"/>
      <c r="E13" s="14"/>
      <c r="F13" s="14"/>
      <c r="G13" s="14"/>
      <c r="H13" s="13">
        <v>114</v>
      </c>
      <c r="I13" s="14" t="s">
        <v>237</v>
      </c>
      <c r="J13" s="16" t="s">
        <v>85</v>
      </c>
      <c r="K13" s="14"/>
      <c r="L13" s="14"/>
      <c r="M13" s="14" t="s">
        <v>233</v>
      </c>
    </row>
    <row r="14" spans="1:13" ht="15" customHeight="1" x14ac:dyDescent="0.25">
      <c r="A14" s="31">
        <f t="shared" si="0"/>
        <v>3</v>
      </c>
      <c r="B14" s="13">
        <f t="shared" si="2"/>
        <v>11</v>
      </c>
      <c r="C14" s="14" t="s">
        <v>482</v>
      </c>
      <c r="D14" s="16"/>
      <c r="E14" s="14"/>
      <c r="F14" s="14"/>
      <c r="G14" s="14"/>
      <c r="H14" s="13">
        <v>115</v>
      </c>
      <c r="I14" s="14" t="s">
        <v>238</v>
      </c>
      <c r="J14" s="16" t="s">
        <v>85</v>
      </c>
      <c r="K14" s="14"/>
      <c r="L14" s="14"/>
      <c r="M14" s="14" t="s">
        <v>233</v>
      </c>
    </row>
    <row r="15" spans="1:13" x14ac:dyDescent="0.25">
      <c r="A15" s="31">
        <f t="shared" si="0"/>
        <v>3</v>
      </c>
      <c r="B15" s="13">
        <f t="shared" si="2"/>
        <v>12</v>
      </c>
      <c r="C15" s="14"/>
      <c r="D15" s="16"/>
      <c r="E15" s="14"/>
      <c r="F15" s="14"/>
      <c r="G15" s="14"/>
      <c r="H15" s="13">
        <v>116</v>
      </c>
      <c r="I15" s="14" t="s">
        <v>239</v>
      </c>
      <c r="J15" s="16" t="s">
        <v>85</v>
      </c>
      <c r="K15" s="14"/>
      <c r="L15" s="14"/>
      <c r="M15" s="14" t="s">
        <v>240</v>
      </c>
    </row>
    <row r="16" spans="1:13" x14ac:dyDescent="0.25">
      <c r="A16" s="31">
        <f t="shared" si="0"/>
        <v>3</v>
      </c>
      <c r="B16" s="13">
        <f t="shared" si="2"/>
        <v>13</v>
      </c>
      <c r="C16" s="14"/>
      <c r="D16" s="15"/>
      <c r="E16" s="14"/>
      <c r="F16" s="14"/>
      <c r="G16" s="14"/>
      <c r="H16" s="13">
        <v>117</v>
      </c>
      <c r="I16" s="14" t="s">
        <v>241</v>
      </c>
      <c r="J16" s="15" t="s">
        <v>81</v>
      </c>
      <c r="K16" s="14"/>
      <c r="L16" s="14"/>
      <c r="M16" s="14" t="s">
        <v>240</v>
      </c>
    </row>
    <row r="17" spans="1:13" x14ac:dyDescent="0.25">
      <c r="A17" s="40">
        <f t="shared" si="0"/>
        <v>3</v>
      </c>
      <c r="B17" s="29" t="s">
        <v>417</v>
      </c>
      <c r="C17" s="19"/>
      <c r="D17" s="19"/>
      <c r="E17" s="19"/>
      <c r="F17" s="19"/>
      <c r="G17" s="19"/>
      <c r="H17" s="18" t="s">
        <v>242</v>
      </c>
      <c r="I17" s="19"/>
      <c r="J17" s="19"/>
      <c r="K17" s="19"/>
      <c r="L17" s="19"/>
      <c r="M17" s="19"/>
    </row>
    <row r="18" spans="1:13" x14ac:dyDescent="0.25">
      <c r="A18" s="31">
        <f t="shared" si="0"/>
        <v>4</v>
      </c>
      <c r="B18" s="13">
        <f t="shared" ref="B18:B25" si="3">IF(ISTEXT(B17), B16+1, B17+1)</f>
        <v>14</v>
      </c>
      <c r="C18" s="14" t="s">
        <v>460</v>
      </c>
      <c r="D18" s="16"/>
      <c r="E18" s="14"/>
      <c r="F18" s="14"/>
      <c r="G18" s="14"/>
      <c r="H18" s="13">
        <v>118</v>
      </c>
      <c r="I18" s="14" t="s">
        <v>243</v>
      </c>
      <c r="J18" s="16" t="s">
        <v>85</v>
      </c>
      <c r="K18" s="14"/>
      <c r="L18" s="14"/>
      <c r="M18" s="14" t="s">
        <v>244</v>
      </c>
    </row>
    <row r="19" spans="1:13" x14ac:dyDescent="0.25">
      <c r="A19" s="31"/>
      <c r="B19" s="13">
        <f t="shared" si="3"/>
        <v>15</v>
      </c>
      <c r="C19" s="14" t="s">
        <v>541</v>
      </c>
      <c r="D19" s="16"/>
      <c r="E19" s="14"/>
      <c r="F19" s="14"/>
      <c r="G19" s="14"/>
      <c r="H19" s="13"/>
      <c r="I19" s="14"/>
      <c r="J19" s="16"/>
      <c r="K19" s="14"/>
      <c r="L19" s="14"/>
      <c r="M19" s="14"/>
    </row>
    <row r="20" spans="1:13" x14ac:dyDescent="0.25">
      <c r="A20" s="31">
        <f>IF(ISTEXT(B18), A18+1, A18)</f>
        <v>4</v>
      </c>
      <c r="B20" s="13">
        <f t="shared" si="3"/>
        <v>16</v>
      </c>
      <c r="C20" s="14" t="s">
        <v>455</v>
      </c>
      <c r="D20" s="16"/>
      <c r="E20" s="14"/>
      <c r="F20" s="14"/>
      <c r="G20" s="14"/>
      <c r="H20" s="13">
        <v>119</v>
      </c>
      <c r="I20" s="14" t="s">
        <v>245</v>
      </c>
      <c r="J20" s="16" t="s">
        <v>85</v>
      </c>
      <c r="K20" s="14"/>
      <c r="L20" s="14"/>
      <c r="M20" s="14" t="s">
        <v>246</v>
      </c>
    </row>
    <row r="21" spans="1:13" x14ac:dyDescent="0.25">
      <c r="A21" s="31">
        <f t="shared" si="0"/>
        <v>4</v>
      </c>
      <c r="B21" s="13">
        <f t="shared" si="3"/>
        <v>17</v>
      </c>
      <c r="C21" s="14" t="s">
        <v>439</v>
      </c>
      <c r="D21" s="17"/>
      <c r="E21" s="14"/>
      <c r="F21" s="14"/>
      <c r="G21" s="14"/>
      <c r="H21" s="13">
        <v>120</v>
      </c>
      <c r="I21" s="14" t="s">
        <v>247</v>
      </c>
      <c r="J21" s="17" t="s">
        <v>94</v>
      </c>
      <c r="K21" s="14"/>
      <c r="L21" s="14"/>
      <c r="M21" s="14" t="s">
        <v>248</v>
      </c>
    </row>
    <row r="22" spans="1:13" x14ac:dyDescent="0.25">
      <c r="A22" s="31">
        <f t="shared" si="0"/>
        <v>4</v>
      </c>
      <c r="B22" s="13">
        <f t="shared" si="3"/>
        <v>18</v>
      </c>
      <c r="C22" s="14" t="s">
        <v>440</v>
      </c>
      <c r="D22" s="17"/>
      <c r="E22" s="14"/>
      <c r="F22" s="14"/>
      <c r="G22" s="14"/>
      <c r="H22" s="13">
        <v>121</v>
      </c>
      <c r="I22" s="14" t="s">
        <v>249</v>
      </c>
      <c r="J22" s="17" t="s">
        <v>94</v>
      </c>
      <c r="K22" s="14"/>
      <c r="L22" s="14"/>
      <c r="M22" s="14" t="s">
        <v>250</v>
      </c>
    </row>
    <row r="23" spans="1:13" x14ac:dyDescent="0.25">
      <c r="A23" s="31">
        <f t="shared" si="0"/>
        <v>4</v>
      </c>
      <c r="B23" s="13">
        <f t="shared" si="3"/>
        <v>19</v>
      </c>
      <c r="C23" s="14" t="s">
        <v>459</v>
      </c>
      <c r="D23" s="15"/>
      <c r="E23" s="14"/>
      <c r="F23" s="14"/>
      <c r="G23" s="14"/>
      <c r="H23" s="13">
        <v>122</v>
      </c>
      <c r="I23" s="14" t="s">
        <v>251</v>
      </c>
      <c r="J23" s="15" t="s">
        <v>81</v>
      </c>
      <c r="K23" s="14"/>
      <c r="L23" s="14"/>
      <c r="M23" s="14" t="s">
        <v>250</v>
      </c>
    </row>
    <row r="24" spans="1:13" x14ac:dyDescent="0.25">
      <c r="A24" s="31">
        <f t="shared" si="0"/>
        <v>4</v>
      </c>
      <c r="B24" s="13">
        <f t="shared" si="3"/>
        <v>20</v>
      </c>
      <c r="C24" s="14" t="s">
        <v>458</v>
      </c>
      <c r="D24" s="15"/>
      <c r="E24" s="14"/>
      <c r="F24" s="14"/>
      <c r="G24" s="14"/>
      <c r="H24" s="13">
        <v>123</v>
      </c>
      <c r="I24" s="14" t="s">
        <v>252</v>
      </c>
      <c r="J24" s="15" t="s">
        <v>81</v>
      </c>
      <c r="K24" s="14"/>
      <c r="L24" s="14"/>
      <c r="M24" s="14" t="s">
        <v>253</v>
      </c>
    </row>
    <row r="25" spans="1:13" x14ac:dyDescent="0.25">
      <c r="A25" s="31">
        <f t="shared" si="0"/>
        <v>4</v>
      </c>
      <c r="B25" s="13">
        <f t="shared" si="3"/>
        <v>21</v>
      </c>
      <c r="C25" s="14" t="s">
        <v>457</v>
      </c>
      <c r="D25" s="17"/>
      <c r="E25" s="14"/>
      <c r="F25" s="14"/>
      <c r="G25" s="14"/>
      <c r="H25" s="13">
        <v>124</v>
      </c>
      <c r="I25" s="14" t="s">
        <v>254</v>
      </c>
      <c r="J25" s="17" t="s">
        <v>94</v>
      </c>
      <c r="K25" s="14"/>
      <c r="L25" s="14"/>
      <c r="M25" s="14" t="s">
        <v>250</v>
      </c>
    </row>
    <row r="26" spans="1:13" x14ac:dyDescent="0.25">
      <c r="A26" s="40">
        <f t="shared" si="0"/>
        <v>4</v>
      </c>
      <c r="B26" s="29" t="s">
        <v>418</v>
      </c>
      <c r="C26" s="19"/>
      <c r="D26" s="19"/>
      <c r="E26" s="19"/>
      <c r="F26" s="19"/>
      <c r="G26" s="19"/>
      <c r="H26" s="18" t="s">
        <v>255</v>
      </c>
      <c r="I26" s="19"/>
      <c r="J26" s="19"/>
      <c r="K26" s="19"/>
      <c r="L26" s="19"/>
      <c r="M26" s="19"/>
    </row>
    <row r="27" spans="1:13" x14ac:dyDescent="0.25">
      <c r="A27" s="31">
        <f t="shared" si="0"/>
        <v>5</v>
      </c>
      <c r="B27" s="13">
        <f t="shared" ref="B27:B35" si="4">IF(ISTEXT(B26), B25+1, B26+1)</f>
        <v>22</v>
      </c>
      <c r="C27" s="14"/>
      <c r="D27" s="16"/>
      <c r="E27" s="14"/>
      <c r="F27" s="14"/>
      <c r="G27" s="14"/>
      <c r="H27" s="13">
        <v>125</v>
      </c>
      <c r="I27" s="14" t="s">
        <v>256</v>
      </c>
      <c r="J27" s="16" t="s">
        <v>85</v>
      </c>
      <c r="K27" s="14"/>
      <c r="L27" s="14"/>
      <c r="M27" s="14" t="s">
        <v>253</v>
      </c>
    </row>
    <row r="28" spans="1:13" x14ac:dyDescent="0.25">
      <c r="A28" s="31">
        <f t="shared" si="0"/>
        <v>5</v>
      </c>
      <c r="B28" s="13">
        <f t="shared" si="4"/>
        <v>23</v>
      </c>
      <c r="C28" s="14"/>
      <c r="D28" s="15"/>
      <c r="E28" s="14"/>
      <c r="F28" s="14"/>
      <c r="G28" s="14"/>
      <c r="H28" s="13">
        <v>126</v>
      </c>
      <c r="I28" s="14" t="s">
        <v>257</v>
      </c>
      <c r="J28" s="15" t="s">
        <v>81</v>
      </c>
      <c r="K28" s="14"/>
      <c r="L28" s="14"/>
      <c r="M28" s="14" t="s">
        <v>253</v>
      </c>
    </row>
    <row r="29" spans="1:13" x14ac:dyDescent="0.25">
      <c r="A29" s="31">
        <f t="shared" si="0"/>
        <v>5</v>
      </c>
      <c r="B29" s="13">
        <f t="shared" si="4"/>
        <v>24</v>
      </c>
      <c r="C29" s="14"/>
      <c r="D29" s="17"/>
      <c r="E29" s="14"/>
      <c r="F29" s="14"/>
      <c r="G29" s="14"/>
      <c r="H29" s="13">
        <v>127</v>
      </c>
      <c r="I29" s="14" t="s">
        <v>258</v>
      </c>
      <c r="J29" s="17" t="s">
        <v>94</v>
      </c>
      <c r="K29" s="14"/>
      <c r="L29" s="14"/>
      <c r="M29" s="14" t="s">
        <v>259</v>
      </c>
    </row>
    <row r="30" spans="1:13" x14ac:dyDescent="0.25">
      <c r="A30" s="31">
        <f t="shared" si="0"/>
        <v>5</v>
      </c>
      <c r="B30" s="13">
        <f t="shared" si="4"/>
        <v>25</v>
      </c>
      <c r="C30" s="14"/>
      <c r="D30" s="15"/>
      <c r="E30" s="14"/>
      <c r="F30" s="14"/>
      <c r="G30" s="14"/>
      <c r="H30" s="13">
        <v>128</v>
      </c>
      <c r="I30" s="14" t="s">
        <v>260</v>
      </c>
      <c r="J30" s="15" t="s">
        <v>81</v>
      </c>
      <c r="K30" s="14"/>
      <c r="L30" s="14"/>
      <c r="M30" s="14" t="s">
        <v>259</v>
      </c>
    </row>
    <row r="31" spans="1:13" x14ac:dyDescent="0.25">
      <c r="A31" s="31">
        <f t="shared" si="0"/>
        <v>5</v>
      </c>
      <c r="B31" s="13">
        <f t="shared" si="4"/>
        <v>26</v>
      </c>
      <c r="C31" s="14"/>
      <c r="D31" s="15"/>
      <c r="E31" s="14"/>
      <c r="F31" s="14"/>
      <c r="G31" s="14"/>
      <c r="H31" s="13">
        <v>129</v>
      </c>
      <c r="I31" s="14" t="s">
        <v>261</v>
      </c>
      <c r="J31" s="15" t="s">
        <v>81</v>
      </c>
      <c r="K31" s="14"/>
      <c r="L31" s="14"/>
      <c r="M31" s="14" t="s">
        <v>259</v>
      </c>
    </row>
    <row r="32" spans="1:13" x14ac:dyDescent="0.25">
      <c r="A32" s="31">
        <f t="shared" si="0"/>
        <v>5</v>
      </c>
      <c r="B32" s="13">
        <f t="shared" si="4"/>
        <v>27</v>
      </c>
      <c r="C32" s="14"/>
      <c r="D32" s="15"/>
      <c r="E32" s="14"/>
      <c r="F32" s="14"/>
      <c r="G32" s="14"/>
      <c r="H32" s="13">
        <v>130</v>
      </c>
      <c r="I32" s="14" t="s">
        <v>262</v>
      </c>
      <c r="J32" s="15" t="s">
        <v>81</v>
      </c>
      <c r="K32" s="14"/>
      <c r="L32" s="14"/>
      <c r="M32" s="14" t="s">
        <v>259</v>
      </c>
    </row>
    <row r="33" spans="1:13" x14ac:dyDescent="0.25">
      <c r="A33" s="31">
        <f t="shared" si="0"/>
        <v>5</v>
      </c>
      <c r="B33" s="13">
        <f t="shared" si="4"/>
        <v>28</v>
      </c>
      <c r="C33" s="14"/>
      <c r="D33" s="15"/>
      <c r="E33" s="14"/>
      <c r="F33" s="14"/>
      <c r="G33" s="14"/>
      <c r="H33" s="13">
        <v>131</v>
      </c>
      <c r="I33" s="14" t="s">
        <v>263</v>
      </c>
      <c r="J33" s="15" t="s">
        <v>81</v>
      </c>
      <c r="K33" s="14"/>
      <c r="L33" s="14"/>
      <c r="M33" s="14" t="s">
        <v>259</v>
      </c>
    </row>
    <row r="34" spans="1:13" x14ac:dyDescent="0.25">
      <c r="A34" s="31">
        <f t="shared" si="0"/>
        <v>5</v>
      </c>
      <c r="B34" s="13">
        <f t="shared" si="4"/>
        <v>29</v>
      </c>
      <c r="C34" s="14"/>
      <c r="D34" s="17"/>
      <c r="E34" s="14"/>
      <c r="F34" s="14"/>
      <c r="G34" s="14"/>
      <c r="H34" s="13">
        <v>132</v>
      </c>
      <c r="I34" s="14" t="s">
        <v>264</v>
      </c>
      <c r="J34" s="17" t="s">
        <v>94</v>
      </c>
      <c r="K34" s="14"/>
      <c r="L34" s="14"/>
      <c r="M34" s="14" t="s">
        <v>259</v>
      </c>
    </row>
    <row r="35" spans="1:13" x14ac:dyDescent="0.25">
      <c r="A35" s="31">
        <f t="shared" si="0"/>
        <v>5</v>
      </c>
      <c r="B35" s="13">
        <f t="shared" si="4"/>
        <v>30</v>
      </c>
      <c r="C35" s="14"/>
      <c r="D35" s="15"/>
      <c r="E35" s="14"/>
      <c r="F35" s="14"/>
      <c r="G35" s="14"/>
      <c r="H35" s="13">
        <v>133</v>
      </c>
      <c r="I35" s="14" t="s">
        <v>265</v>
      </c>
      <c r="J35" s="15" t="s">
        <v>81</v>
      </c>
      <c r="K35" s="14"/>
      <c r="L35" s="14"/>
      <c r="M35" s="14" t="s">
        <v>121</v>
      </c>
    </row>
    <row r="36" spans="1:13" x14ac:dyDescent="0.25">
      <c r="A36" s="40">
        <f t="shared" ref="A36:A45" si="5">IF(ISTEXT(B35), A35+1, A35)</f>
        <v>5</v>
      </c>
      <c r="B36" s="29" t="s">
        <v>425</v>
      </c>
      <c r="C36" s="19"/>
      <c r="D36" s="19"/>
      <c r="E36" s="19"/>
      <c r="F36" s="19"/>
      <c r="G36" s="19"/>
    </row>
    <row r="37" spans="1:13" x14ac:dyDescent="0.25">
      <c r="A37" s="31">
        <f t="shared" si="5"/>
        <v>6</v>
      </c>
      <c r="B37" s="13">
        <f t="shared" ref="B37:B45" si="6">IF(ISTEXT(B36), B35+1, B36+1)</f>
        <v>31</v>
      </c>
      <c r="C37" s="14" t="s">
        <v>428</v>
      </c>
      <c r="D37" s="16"/>
      <c r="E37" s="14"/>
      <c r="F37" s="14"/>
      <c r="G37" s="14"/>
    </row>
    <row r="38" spans="1:13" x14ac:dyDescent="0.25">
      <c r="A38" s="31">
        <f t="shared" si="5"/>
        <v>6</v>
      </c>
      <c r="B38" s="13">
        <f t="shared" si="6"/>
        <v>32</v>
      </c>
      <c r="C38" s="14" t="s">
        <v>429</v>
      </c>
      <c r="D38" s="15"/>
      <c r="E38" s="14"/>
      <c r="F38" s="14"/>
      <c r="G38" s="14"/>
    </row>
    <row r="39" spans="1:13" x14ac:dyDescent="0.25">
      <c r="A39" s="31">
        <f t="shared" si="5"/>
        <v>6</v>
      </c>
      <c r="B39" s="13">
        <f t="shared" si="6"/>
        <v>33</v>
      </c>
      <c r="C39" s="14" t="s">
        <v>430</v>
      </c>
      <c r="D39" s="17"/>
      <c r="E39" s="14"/>
      <c r="F39" s="14"/>
      <c r="G39" s="14"/>
    </row>
    <row r="40" spans="1:13" x14ac:dyDescent="0.25">
      <c r="A40" s="31">
        <f t="shared" si="5"/>
        <v>6</v>
      </c>
      <c r="B40" s="13">
        <f t="shared" si="6"/>
        <v>34</v>
      </c>
      <c r="C40" s="14" t="s">
        <v>426</v>
      </c>
      <c r="D40" s="15"/>
      <c r="E40" s="14"/>
      <c r="F40" s="14"/>
      <c r="G40" s="14" t="s">
        <v>481</v>
      </c>
    </row>
    <row r="41" spans="1:13" x14ac:dyDescent="0.25">
      <c r="A41" s="31">
        <f t="shared" si="5"/>
        <v>6</v>
      </c>
      <c r="B41" s="13">
        <f t="shared" si="6"/>
        <v>35</v>
      </c>
      <c r="C41" s="14" t="s">
        <v>427</v>
      </c>
      <c r="D41" s="15"/>
      <c r="E41" s="14"/>
      <c r="F41" s="14"/>
      <c r="G41" s="14" t="s">
        <v>480</v>
      </c>
    </row>
    <row r="42" spans="1:13" x14ac:dyDescent="0.25">
      <c r="A42" s="31">
        <f t="shared" si="5"/>
        <v>6</v>
      </c>
      <c r="B42" s="13">
        <f t="shared" si="6"/>
        <v>36</v>
      </c>
      <c r="C42" s="14" t="s">
        <v>512</v>
      </c>
      <c r="D42" s="15"/>
      <c r="E42" s="14"/>
      <c r="F42" s="14"/>
      <c r="G42" s="14"/>
    </row>
    <row r="43" spans="1:13" x14ac:dyDescent="0.25">
      <c r="A43" s="31">
        <f t="shared" si="5"/>
        <v>6</v>
      </c>
      <c r="B43" s="13">
        <f t="shared" si="6"/>
        <v>37</v>
      </c>
      <c r="C43" s="14" t="s">
        <v>513</v>
      </c>
      <c r="D43" s="15"/>
      <c r="E43" s="14"/>
      <c r="F43" s="14"/>
      <c r="G43" s="14"/>
    </row>
    <row r="44" spans="1:13" x14ac:dyDescent="0.25">
      <c r="A44" s="31">
        <f t="shared" si="5"/>
        <v>6</v>
      </c>
      <c r="B44" s="13">
        <f t="shared" si="6"/>
        <v>38</v>
      </c>
      <c r="C44" s="14"/>
      <c r="D44" s="17"/>
      <c r="E44" s="14"/>
      <c r="F44" s="14"/>
      <c r="G44" s="14"/>
    </row>
    <row r="45" spans="1:13" x14ac:dyDescent="0.25">
      <c r="A45" s="31">
        <f t="shared" si="5"/>
        <v>6</v>
      </c>
      <c r="B45" s="13">
        <f t="shared" si="6"/>
        <v>39</v>
      </c>
      <c r="C45" s="14"/>
      <c r="D45" s="15"/>
      <c r="E45" s="14"/>
      <c r="F45" s="14"/>
      <c r="G45" s="14"/>
    </row>
    <row r="46" spans="1:13" x14ac:dyDescent="0.25">
      <c r="A46" s="40">
        <f t="shared" ref="A46:A56" si="7">IF(ISTEXT(B45), A45+1, A45)</f>
        <v>6</v>
      </c>
      <c r="B46" s="29" t="s">
        <v>483</v>
      </c>
      <c r="C46" s="19"/>
      <c r="D46" s="19"/>
      <c r="E46" s="19"/>
      <c r="F46" s="19"/>
      <c r="G46" s="19"/>
    </row>
    <row r="47" spans="1:13" x14ac:dyDescent="0.25">
      <c r="A47" s="31">
        <f t="shared" si="7"/>
        <v>7</v>
      </c>
      <c r="B47" s="13">
        <f t="shared" ref="B47:B55" si="8">IF(ISTEXT(B46), B45+1, B46+1)</f>
        <v>40</v>
      </c>
      <c r="D47" s="16"/>
      <c r="E47" s="14"/>
      <c r="F47" s="14"/>
      <c r="G47" s="14"/>
    </row>
    <row r="48" spans="1:13" x14ac:dyDescent="0.25">
      <c r="A48" s="31">
        <f t="shared" si="7"/>
        <v>7</v>
      </c>
      <c r="B48" s="13">
        <f t="shared" si="8"/>
        <v>41</v>
      </c>
      <c r="C48" s="14" t="s">
        <v>484</v>
      </c>
      <c r="D48" s="15"/>
      <c r="E48" s="14"/>
      <c r="F48" s="14"/>
      <c r="G48" s="14"/>
    </row>
    <row r="49" spans="1:7" x14ac:dyDescent="0.25">
      <c r="A49" s="31">
        <f t="shared" si="7"/>
        <v>7</v>
      </c>
      <c r="B49" s="13">
        <f t="shared" si="8"/>
        <v>42</v>
      </c>
      <c r="C49" s="14"/>
      <c r="D49" s="17"/>
      <c r="E49" s="14"/>
      <c r="F49" s="14"/>
      <c r="G49" s="14"/>
    </row>
    <row r="50" spans="1:7" x14ac:dyDescent="0.25">
      <c r="A50" s="31">
        <f t="shared" si="7"/>
        <v>7</v>
      </c>
      <c r="B50" s="13">
        <f t="shared" si="8"/>
        <v>43</v>
      </c>
      <c r="C50" s="14"/>
      <c r="D50" s="15"/>
      <c r="E50" s="14"/>
      <c r="F50" s="14"/>
      <c r="G50" s="14"/>
    </row>
    <row r="51" spans="1:7" x14ac:dyDescent="0.25">
      <c r="A51" s="31">
        <f t="shared" si="7"/>
        <v>7</v>
      </c>
      <c r="B51" s="13">
        <f t="shared" si="8"/>
        <v>44</v>
      </c>
      <c r="C51" s="14"/>
      <c r="D51" s="15"/>
      <c r="E51" s="14"/>
      <c r="F51" s="14"/>
      <c r="G51" s="14"/>
    </row>
    <row r="52" spans="1:7" x14ac:dyDescent="0.25">
      <c r="A52" s="31">
        <f t="shared" si="7"/>
        <v>7</v>
      </c>
      <c r="B52" s="13">
        <f t="shared" si="8"/>
        <v>45</v>
      </c>
      <c r="C52" s="14"/>
      <c r="D52" s="15"/>
      <c r="E52" s="14"/>
      <c r="F52" s="14"/>
      <c r="G52" s="14"/>
    </row>
    <row r="53" spans="1:7" x14ac:dyDescent="0.25">
      <c r="A53" s="31">
        <f t="shared" si="7"/>
        <v>7</v>
      </c>
      <c r="B53" s="13">
        <f t="shared" si="8"/>
        <v>46</v>
      </c>
      <c r="C53" s="14"/>
      <c r="D53" s="15"/>
      <c r="E53" s="14"/>
      <c r="F53" s="14"/>
      <c r="G53" s="14"/>
    </row>
    <row r="54" spans="1:7" x14ac:dyDescent="0.25">
      <c r="A54" s="31">
        <f t="shared" si="7"/>
        <v>7</v>
      </c>
      <c r="B54" s="13">
        <f t="shared" si="8"/>
        <v>47</v>
      </c>
      <c r="C54" s="14"/>
      <c r="D54" s="17"/>
      <c r="E54" s="14"/>
      <c r="F54" s="14"/>
      <c r="G54" s="14"/>
    </row>
    <row r="55" spans="1:7" x14ac:dyDescent="0.25">
      <c r="A55" s="31">
        <f t="shared" si="7"/>
        <v>7</v>
      </c>
      <c r="B55" s="13">
        <f t="shared" si="8"/>
        <v>48</v>
      </c>
      <c r="C55" s="14"/>
      <c r="D55" s="15"/>
      <c r="E55" s="14"/>
      <c r="F55" s="14"/>
      <c r="G55" s="14"/>
    </row>
    <row r="61" spans="1:7" x14ac:dyDescent="0.25">
      <c r="D61" s="14" t="s">
        <v>81</v>
      </c>
    </row>
    <row r="62" spans="1:7" x14ac:dyDescent="0.25">
      <c r="D62" s="14" t="s">
        <v>399</v>
      </c>
    </row>
    <row r="63" spans="1:7" x14ac:dyDescent="0.25">
      <c r="D63" s="14" t="s">
        <v>400</v>
      </c>
    </row>
    <row r="64" spans="1:7" x14ac:dyDescent="0.25">
      <c r="D64" s="14" t="s">
        <v>431</v>
      </c>
    </row>
  </sheetData>
  <mergeCells count="10">
    <mergeCell ref="B36:G36"/>
    <mergeCell ref="B46:G46"/>
    <mergeCell ref="H2:M2"/>
    <mergeCell ref="H26:M26"/>
    <mergeCell ref="H10:M10"/>
    <mergeCell ref="H17:M17"/>
    <mergeCell ref="B2:G2"/>
    <mergeCell ref="B10:G10"/>
    <mergeCell ref="B17:G17"/>
    <mergeCell ref="B26:G26"/>
  </mergeCells>
  <conditionalFormatting sqref="D4:D6">
    <cfRule type="cellIs" dxfId="53" priority="20" operator="equal">
      <formula>"Custom"</formula>
    </cfRule>
    <cfRule type="cellIs" dxfId="52" priority="21" operator="equal">
      <formula>"Vendor"</formula>
    </cfRule>
    <cfRule type="cellIs" dxfId="51" priority="22" operator="equal">
      <formula>"IT\OT"</formula>
    </cfRule>
    <cfRule type="cellIs" dxfId="50" priority="23" operator="equal">
      <formula>"Site"</formula>
    </cfRule>
  </conditionalFormatting>
  <conditionalFormatting sqref="D1:D60 D65:D1048576">
    <cfRule type="cellIs" dxfId="49" priority="15" operator="equal">
      <formula>""</formula>
    </cfRule>
    <cfRule type="cellIs" dxfId="48" priority="16" operator="equal">
      <formula>"Custom"</formula>
    </cfRule>
    <cfRule type="cellIs" dxfId="47" priority="17" operator="equal">
      <formula>"Vendor"</formula>
    </cfRule>
    <cfRule type="cellIs" dxfId="46" priority="18" operator="equal">
      <formula>"IT\OT"</formula>
    </cfRule>
    <cfRule type="cellIs" dxfId="45" priority="19" operator="equal">
      <formula>"Site"</formula>
    </cfRule>
  </conditionalFormatting>
  <conditionalFormatting sqref="D62:D64">
    <cfRule type="cellIs" dxfId="44" priority="11" operator="equal">
      <formula>"Custom"</formula>
    </cfRule>
    <cfRule type="cellIs" dxfId="43" priority="12" operator="equal">
      <formula>"Vendor"</formula>
    </cfRule>
    <cfRule type="cellIs" dxfId="42" priority="13" operator="equal">
      <formula>"IT\OT"</formula>
    </cfRule>
    <cfRule type="cellIs" dxfId="41" priority="14" operator="equal">
      <formula>"Site"</formula>
    </cfRule>
  </conditionalFormatting>
  <conditionalFormatting sqref="D61:D64">
    <cfRule type="cellIs" dxfId="40" priority="6" operator="equal">
      <formula>""</formula>
    </cfRule>
    <cfRule type="cellIs" dxfId="39" priority="7" operator="equal">
      <formula>"Custom"</formula>
    </cfRule>
    <cfRule type="cellIs" dxfId="38" priority="8" operator="equal">
      <formula>"Vendor"</formula>
    </cfRule>
    <cfRule type="cellIs" dxfId="37" priority="9" operator="equal">
      <formula>"IT\OT"</formula>
    </cfRule>
    <cfRule type="cellIs" dxfId="36" priority="10" operator="equal">
      <formula>"Site"</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4"/>
  <sheetViews>
    <sheetView workbookViewId="0">
      <selection activeCell="F15" sqref="F15"/>
    </sheetView>
  </sheetViews>
  <sheetFormatPr defaultRowHeight="15" x14ac:dyDescent="0.25"/>
  <cols>
    <col min="1" max="1" width="3.5703125" customWidth="1"/>
    <col min="2" max="2" width="8" customWidth="1"/>
    <col min="3" max="3" width="50" customWidth="1"/>
    <col min="4" max="5" width="12" customWidth="1"/>
    <col min="6" max="6" width="30" customWidth="1"/>
    <col min="7" max="7" width="25" customWidth="1"/>
  </cols>
  <sheetData>
    <row r="1" spans="1:7" ht="45" customHeight="1" x14ac:dyDescent="0.25">
      <c r="A1" s="12" t="s">
        <v>358</v>
      </c>
      <c r="B1" s="12" t="s">
        <v>73</v>
      </c>
      <c r="C1" s="12" t="s">
        <v>74</v>
      </c>
      <c r="D1" s="12" t="s">
        <v>75</v>
      </c>
      <c r="E1" s="12" t="s">
        <v>76</v>
      </c>
      <c r="F1" s="12" t="s">
        <v>77</v>
      </c>
      <c r="G1" s="12" t="s">
        <v>78</v>
      </c>
    </row>
    <row r="2" spans="1:7" x14ac:dyDescent="0.25">
      <c r="A2" s="40">
        <v>1</v>
      </c>
      <c r="B2" s="29" t="s">
        <v>443</v>
      </c>
      <c r="C2" s="19"/>
      <c r="D2" s="19"/>
      <c r="E2" s="19"/>
      <c r="F2" s="19"/>
      <c r="G2" s="19"/>
    </row>
    <row r="3" spans="1:7" x14ac:dyDescent="0.25">
      <c r="A3" s="31">
        <f>IF(ISTEXT(B2), A2+1, A2)</f>
        <v>2</v>
      </c>
      <c r="B3" s="13">
        <v>1</v>
      </c>
      <c r="C3" s="14"/>
      <c r="D3" s="14" t="s">
        <v>81</v>
      </c>
      <c r="E3" s="14"/>
      <c r="F3" s="14"/>
      <c r="G3" s="14"/>
    </row>
    <row r="4" spans="1:7" x14ac:dyDescent="0.25">
      <c r="A4" s="31">
        <f t="shared" ref="A4:A35" si="0">IF(ISTEXT(B3), A3+1, A3)</f>
        <v>2</v>
      </c>
      <c r="B4" s="13">
        <f>IF(ISTEXT(B3), B2+1, B3+1)</f>
        <v>2</v>
      </c>
      <c r="C4" s="14"/>
      <c r="D4" s="14" t="s">
        <v>399</v>
      </c>
      <c r="E4" s="14"/>
      <c r="F4" s="14"/>
      <c r="G4" s="14"/>
    </row>
    <row r="5" spans="1:7" x14ac:dyDescent="0.25">
      <c r="A5" s="31">
        <f t="shared" si="0"/>
        <v>2</v>
      </c>
      <c r="B5" s="13">
        <f t="shared" ref="B5:B9" si="1">IF(ISTEXT(B4), B3+1, B4+1)</f>
        <v>3</v>
      </c>
      <c r="C5" s="14"/>
      <c r="D5" s="14" t="s">
        <v>400</v>
      </c>
      <c r="E5" s="14"/>
      <c r="F5" s="14"/>
      <c r="G5" s="14"/>
    </row>
    <row r="6" spans="1:7" x14ac:dyDescent="0.25">
      <c r="A6" s="31">
        <f t="shared" si="0"/>
        <v>2</v>
      </c>
      <c r="B6" s="13">
        <f t="shared" si="1"/>
        <v>4</v>
      </c>
      <c r="C6" s="14"/>
      <c r="D6" s="14" t="s">
        <v>431</v>
      </c>
      <c r="E6" s="14"/>
      <c r="F6" s="14"/>
      <c r="G6" s="14"/>
    </row>
    <row r="7" spans="1:7" x14ac:dyDescent="0.25">
      <c r="A7" s="31">
        <f t="shared" si="0"/>
        <v>2</v>
      </c>
      <c r="B7" s="13">
        <f t="shared" si="1"/>
        <v>5</v>
      </c>
      <c r="C7" s="14"/>
      <c r="D7" s="17"/>
      <c r="E7" s="14"/>
      <c r="F7" s="14"/>
      <c r="G7" s="14"/>
    </row>
    <row r="8" spans="1:7" x14ac:dyDescent="0.25">
      <c r="A8" s="31">
        <f t="shared" si="0"/>
        <v>2</v>
      </c>
      <c r="B8" s="13">
        <f t="shared" si="1"/>
        <v>6</v>
      </c>
      <c r="C8" s="14"/>
      <c r="D8" s="17"/>
      <c r="E8" s="14"/>
      <c r="F8" s="14"/>
      <c r="G8" s="14"/>
    </row>
    <row r="9" spans="1:7" x14ac:dyDescent="0.25">
      <c r="A9" s="31">
        <f t="shared" si="0"/>
        <v>2</v>
      </c>
      <c r="B9" s="13">
        <f t="shared" si="1"/>
        <v>7</v>
      </c>
      <c r="C9" s="14"/>
      <c r="D9" s="17"/>
      <c r="E9" s="14"/>
      <c r="F9" s="14"/>
      <c r="G9" s="14"/>
    </row>
    <row r="10" spans="1:7" x14ac:dyDescent="0.25">
      <c r="A10" s="40">
        <f t="shared" si="0"/>
        <v>2</v>
      </c>
      <c r="B10" s="29" t="s">
        <v>444</v>
      </c>
      <c r="C10" s="19"/>
      <c r="D10" s="19"/>
      <c r="E10" s="19"/>
      <c r="F10" s="19"/>
      <c r="G10" s="19"/>
    </row>
    <row r="11" spans="1:7" x14ac:dyDescent="0.25">
      <c r="A11" s="31">
        <f t="shared" si="0"/>
        <v>3</v>
      </c>
      <c r="B11" s="13">
        <f t="shared" ref="B11:B17" si="2">IF(ISTEXT(B10), B9+1, B10+1)</f>
        <v>8</v>
      </c>
      <c r="C11" s="14"/>
      <c r="D11" s="17"/>
      <c r="E11" s="14"/>
      <c r="F11" s="14"/>
      <c r="G11" s="14"/>
    </row>
    <row r="12" spans="1:7" x14ac:dyDescent="0.25">
      <c r="A12" s="31">
        <f t="shared" si="0"/>
        <v>3</v>
      </c>
      <c r="B12" s="13">
        <f t="shared" si="2"/>
        <v>9</v>
      </c>
      <c r="C12" s="14"/>
      <c r="D12" s="17"/>
      <c r="E12" s="14"/>
      <c r="F12" s="14"/>
      <c r="G12" s="14"/>
    </row>
    <row r="13" spans="1:7" x14ac:dyDescent="0.25">
      <c r="A13" s="31">
        <f t="shared" si="0"/>
        <v>3</v>
      </c>
      <c r="B13" s="13">
        <f t="shared" si="2"/>
        <v>10</v>
      </c>
      <c r="C13" s="14"/>
      <c r="D13" s="17"/>
      <c r="E13" s="14"/>
      <c r="F13" s="14"/>
      <c r="G13" s="14"/>
    </row>
    <row r="14" spans="1:7" x14ac:dyDescent="0.25">
      <c r="A14" s="31">
        <f t="shared" si="0"/>
        <v>3</v>
      </c>
      <c r="B14" s="13">
        <f t="shared" si="2"/>
        <v>11</v>
      </c>
      <c r="C14" s="14"/>
      <c r="D14" s="17"/>
      <c r="E14" s="14"/>
      <c r="F14" s="14"/>
      <c r="G14" s="14"/>
    </row>
    <row r="15" spans="1:7" x14ac:dyDescent="0.25">
      <c r="A15" s="31">
        <f t="shared" si="0"/>
        <v>3</v>
      </c>
      <c r="B15" s="13">
        <f t="shared" si="2"/>
        <v>12</v>
      </c>
      <c r="C15" s="14"/>
      <c r="D15" s="17"/>
      <c r="E15" s="14"/>
      <c r="F15" s="14"/>
      <c r="G15" s="14"/>
    </row>
    <row r="16" spans="1:7" x14ac:dyDescent="0.25">
      <c r="A16" s="31">
        <f t="shared" si="0"/>
        <v>3</v>
      </c>
      <c r="B16" s="13">
        <f t="shared" si="2"/>
        <v>13</v>
      </c>
      <c r="C16" s="14"/>
      <c r="D16" s="17"/>
      <c r="E16" s="14"/>
      <c r="F16" s="14"/>
      <c r="G16" s="14"/>
    </row>
    <row r="17" spans="1:7" x14ac:dyDescent="0.25">
      <c r="A17" s="31">
        <f t="shared" si="0"/>
        <v>3</v>
      </c>
      <c r="B17" s="13">
        <f t="shared" si="2"/>
        <v>14</v>
      </c>
      <c r="C17" s="14"/>
      <c r="D17" s="17"/>
      <c r="E17" s="14"/>
      <c r="F17" s="14"/>
      <c r="G17" s="14"/>
    </row>
    <row r="18" spans="1:7" x14ac:dyDescent="0.25">
      <c r="A18" s="40">
        <f t="shared" si="0"/>
        <v>3</v>
      </c>
      <c r="B18" s="29" t="s">
        <v>448</v>
      </c>
      <c r="C18" s="19"/>
      <c r="D18" s="19"/>
      <c r="E18" s="19"/>
      <c r="F18" s="19"/>
      <c r="G18" s="19"/>
    </row>
    <row r="19" spans="1:7" x14ac:dyDescent="0.25">
      <c r="A19" s="31">
        <f t="shared" si="0"/>
        <v>4</v>
      </c>
      <c r="B19" s="13">
        <f t="shared" ref="B19:B25" si="3">IF(ISTEXT(B18), B17+1, B18+1)</f>
        <v>15</v>
      </c>
      <c r="C19" s="14"/>
      <c r="D19" s="15"/>
      <c r="E19" s="14"/>
      <c r="F19" s="14"/>
      <c r="G19" s="14"/>
    </row>
    <row r="20" spans="1:7" x14ac:dyDescent="0.25">
      <c r="A20" s="31">
        <f t="shared" si="0"/>
        <v>4</v>
      </c>
      <c r="B20" s="13">
        <f t="shared" si="3"/>
        <v>16</v>
      </c>
      <c r="C20" s="14"/>
      <c r="D20" s="15"/>
      <c r="E20" s="14"/>
      <c r="F20" s="14"/>
      <c r="G20" s="14"/>
    </row>
    <row r="21" spans="1:7" x14ac:dyDescent="0.25">
      <c r="A21" s="31">
        <f t="shared" si="0"/>
        <v>4</v>
      </c>
      <c r="B21" s="13">
        <f t="shared" si="3"/>
        <v>17</v>
      </c>
      <c r="C21" s="14"/>
      <c r="D21" s="15"/>
      <c r="E21" s="14"/>
      <c r="F21" s="14"/>
      <c r="G21" s="14"/>
    </row>
    <row r="22" spans="1:7" x14ac:dyDescent="0.25">
      <c r="A22" s="31">
        <f t="shared" si="0"/>
        <v>4</v>
      </c>
      <c r="B22" s="13">
        <f t="shared" si="3"/>
        <v>18</v>
      </c>
      <c r="C22" s="14"/>
      <c r="D22" s="15"/>
      <c r="E22" s="14"/>
      <c r="F22" s="14"/>
      <c r="G22" s="14"/>
    </row>
    <row r="23" spans="1:7" x14ac:dyDescent="0.25">
      <c r="A23" s="31">
        <f t="shared" si="0"/>
        <v>4</v>
      </c>
      <c r="B23" s="13">
        <f t="shared" si="3"/>
        <v>19</v>
      </c>
      <c r="C23" s="14"/>
      <c r="D23" s="15"/>
      <c r="E23" s="14"/>
      <c r="F23" s="14"/>
      <c r="G23" s="14"/>
    </row>
    <row r="24" spans="1:7" x14ac:dyDescent="0.25">
      <c r="A24" s="31">
        <f t="shared" si="0"/>
        <v>4</v>
      </c>
      <c r="B24" s="13">
        <f t="shared" si="3"/>
        <v>20</v>
      </c>
      <c r="C24" s="14"/>
      <c r="D24" s="15"/>
      <c r="E24" s="14"/>
      <c r="F24" s="14"/>
      <c r="G24" s="14"/>
    </row>
    <row r="25" spans="1:7" x14ac:dyDescent="0.25">
      <c r="A25" s="31">
        <f t="shared" si="0"/>
        <v>4</v>
      </c>
      <c r="B25" s="13">
        <f t="shared" si="3"/>
        <v>21</v>
      </c>
      <c r="C25" s="14"/>
      <c r="D25" s="16"/>
      <c r="E25" s="14"/>
      <c r="F25" s="14"/>
      <c r="G25" s="14"/>
    </row>
    <row r="26" spans="1:7" x14ac:dyDescent="0.25">
      <c r="A26" s="40">
        <f t="shared" si="0"/>
        <v>4</v>
      </c>
      <c r="B26" s="29" t="s">
        <v>449</v>
      </c>
      <c r="C26" s="19"/>
      <c r="D26" s="19"/>
      <c r="E26" s="19"/>
      <c r="F26" s="19"/>
      <c r="G26" s="19"/>
    </row>
    <row r="27" spans="1:7" x14ac:dyDescent="0.25">
      <c r="A27" s="31">
        <f t="shared" si="0"/>
        <v>5</v>
      </c>
      <c r="B27" s="13">
        <f t="shared" ref="B27:B35" si="4">IF(ISTEXT(B26), B25+1, B26+1)</f>
        <v>22</v>
      </c>
      <c r="C27" s="14"/>
      <c r="D27" s="15"/>
      <c r="E27" s="14"/>
      <c r="F27" s="14"/>
      <c r="G27" s="14"/>
    </row>
    <row r="28" spans="1:7" x14ac:dyDescent="0.25">
      <c r="A28" s="31">
        <f t="shared" si="0"/>
        <v>5</v>
      </c>
      <c r="B28" s="13">
        <f t="shared" si="4"/>
        <v>23</v>
      </c>
      <c r="C28" s="14"/>
      <c r="D28" s="17"/>
      <c r="E28" s="14"/>
      <c r="F28" s="14"/>
      <c r="G28" s="14"/>
    </row>
    <row r="29" spans="1:7" x14ac:dyDescent="0.25">
      <c r="A29" s="31">
        <f t="shared" si="0"/>
        <v>5</v>
      </c>
      <c r="B29" s="13">
        <f t="shared" si="4"/>
        <v>24</v>
      </c>
      <c r="C29" s="14"/>
      <c r="D29" s="15"/>
      <c r="E29" s="14"/>
      <c r="F29" s="14"/>
      <c r="G29" s="14"/>
    </row>
    <row r="30" spans="1:7" x14ac:dyDescent="0.25">
      <c r="A30" s="31">
        <f t="shared" si="0"/>
        <v>5</v>
      </c>
      <c r="B30" s="13">
        <f t="shared" si="4"/>
        <v>25</v>
      </c>
      <c r="C30" s="14"/>
      <c r="D30" s="15"/>
      <c r="E30" s="14"/>
      <c r="F30" s="14"/>
      <c r="G30" s="14"/>
    </row>
    <row r="31" spans="1:7" x14ac:dyDescent="0.25">
      <c r="A31" s="31">
        <f t="shared" si="0"/>
        <v>5</v>
      </c>
      <c r="B31" s="13">
        <f t="shared" si="4"/>
        <v>26</v>
      </c>
      <c r="C31" s="14"/>
      <c r="D31" s="15"/>
      <c r="E31" s="14"/>
      <c r="F31" s="14"/>
      <c r="G31" s="14"/>
    </row>
    <row r="32" spans="1:7" x14ac:dyDescent="0.25">
      <c r="A32" s="31">
        <f t="shared" si="0"/>
        <v>5</v>
      </c>
      <c r="B32" s="13">
        <f t="shared" si="4"/>
        <v>27</v>
      </c>
      <c r="C32" s="14"/>
      <c r="D32" s="15"/>
      <c r="E32" s="14"/>
      <c r="F32" s="14"/>
      <c r="G32" s="14"/>
    </row>
    <row r="33" spans="1:7" x14ac:dyDescent="0.25">
      <c r="A33" s="31">
        <f t="shared" si="0"/>
        <v>5</v>
      </c>
      <c r="B33" s="13">
        <f t="shared" si="4"/>
        <v>28</v>
      </c>
      <c r="C33" s="14"/>
      <c r="D33" s="15"/>
      <c r="E33" s="14"/>
      <c r="F33" s="14"/>
      <c r="G33" s="14"/>
    </row>
    <row r="34" spans="1:7" x14ac:dyDescent="0.25">
      <c r="A34" s="31">
        <f t="shared" si="0"/>
        <v>5</v>
      </c>
      <c r="B34" s="13">
        <f t="shared" si="4"/>
        <v>29</v>
      </c>
      <c r="C34" s="14"/>
      <c r="D34" s="15"/>
      <c r="E34" s="14"/>
      <c r="F34" s="14"/>
      <c r="G34" s="14"/>
    </row>
    <row r="35" spans="1:7" x14ac:dyDescent="0.25">
      <c r="A35" s="31">
        <f t="shared" si="0"/>
        <v>5</v>
      </c>
      <c r="B35" s="13">
        <f t="shared" si="4"/>
        <v>30</v>
      </c>
      <c r="C35" s="14"/>
      <c r="D35" s="15"/>
      <c r="E35" s="14"/>
      <c r="F35" s="14"/>
      <c r="G35" s="14"/>
    </row>
    <row r="41" spans="1:7" x14ac:dyDescent="0.25">
      <c r="D41" s="14" t="s">
        <v>81</v>
      </c>
    </row>
    <row r="42" spans="1:7" x14ac:dyDescent="0.25">
      <c r="D42" s="14" t="s">
        <v>399</v>
      </c>
    </row>
    <row r="43" spans="1:7" x14ac:dyDescent="0.25">
      <c r="D43" s="14" t="s">
        <v>400</v>
      </c>
    </row>
    <row r="44" spans="1:7" x14ac:dyDescent="0.25">
      <c r="D44" s="14" t="s">
        <v>431</v>
      </c>
    </row>
  </sheetData>
  <mergeCells count="4">
    <mergeCell ref="B2:G2"/>
    <mergeCell ref="B10:G10"/>
    <mergeCell ref="B18:G18"/>
    <mergeCell ref="B26:G26"/>
  </mergeCells>
  <conditionalFormatting sqref="D4:D6">
    <cfRule type="cellIs" dxfId="35" priority="15" operator="equal">
      <formula>"Custom"</formula>
    </cfRule>
    <cfRule type="cellIs" dxfId="34" priority="16" operator="equal">
      <formula>"Vendor"</formula>
    </cfRule>
    <cfRule type="cellIs" dxfId="33" priority="17" operator="equal">
      <formula>"IT\OT"</formula>
    </cfRule>
    <cfRule type="cellIs" dxfId="32" priority="18" operator="equal">
      <formula>"Site"</formula>
    </cfRule>
  </conditionalFormatting>
  <conditionalFormatting sqref="D1:D40 D45:D1048576">
    <cfRule type="cellIs" dxfId="31" priority="10" operator="equal">
      <formula>""</formula>
    </cfRule>
    <cfRule type="cellIs" dxfId="30" priority="11" operator="equal">
      <formula>"Custom"</formula>
    </cfRule>
    <cfRule type="cellIs" dxfId="29" priority="12" operator="equal">
      <formula>"Vendor"</formula>
    </cfRule>
    <cfRule type="cellIs" dxfId="28" priority="13" operator="equal">
      <formula>"IT\OT"</formula>
    </cfRule>
    <cfRule type="cellIs" dxfId="27" priority="14" operator="equal">
      <formula>"Site"</formula>
    </cfRule>
  </conditionalFormatting>
  <conditionalFormatting sqref="D42:D44">
    <cfRule type="cellIs" dxfId="26" priority="6" operator="equal">
      <formula>"Custom"</formula>
    </cfRule>
    <cfRule type="cellIs" dxfId="25" priority="7" operator="equal">
      <formula>"Vendor"</formula>
    </cfRule>
    <cfRule type="cellIs" dxfId="24" priority="8" operator="equal">
      <formula>"IT\OT"</formula>
    </cfRule>
    <cfRule type="cellIs" dxfId="23" priority="9" operator="equal">
      <formula>"Site"</formula>
    </cfRule>
  </conditionalFormatting>
  <conditionalFormatting sqref="D41:D44">
    <cfRule type="cellIs" dxfId="22" priority="1" operator="equal">
      <formula>""</formula>
    </cfRule>
    <cfRule type="cellIs" dxfId="21" priority="2" operator="equal">
      <formula>"Custom"</formula>
    </cfRule>
    <cfRule type="cellIs" dxfId="20" priority="3" operator="equal">
      <formula>"Vendor"</formula>
    </cfRule>
    <cfRule type="cellIs" dxfId="19" priority="4" operator="equal">
      <formula>"IT\OT"</formula>
    </cfRule>
    <cfRule type="cellIs" dxfId="18" priority="5" operator="equal">
      <formula>"Site"</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AE4F2-7F27-4EF1-AE80-7CBCB9147193}">
  <dimension ref="A1:M51"/>
  <sheetViews>
    <sheetView workbookViewId="0">
      <selection activeCell="C6" sqref="C6:C12"/>
    </sheetView>
  </sheetViews>
  <sheetFormatPr defaultRowHeight="15" x14ac:dyDescent="0.25"/>
  <cols>
    <col min="1" max="1" width="3.5703125" customWidth="1"/>
    <col min="2" max="2" width="12.140625" bestFit="1" customWidth="1"/>
    <col min="3" max="3" width="50" customWidth="1"/>
    <col min="4" max="5" width="12" customWidth="1"/>
    <col min="6" max="6" width="30" customWidth="1"/>
    <col min="7" max="7" width="25" customWidth="1"/>
    <col min="8" max="8" width="8" customWidth="1"/>
    <col min="9" max="9" width="72.5703125" customWidth="1"/>
    <col min="10" max="11" width="12" customWidth="1"/>
    <col min="12" max="12" width="30" customWidth="1"/>
    <col min="13" max="13" width="25" customWidth="1"/>
  </cols>
  <sheetData>
    <row r="1" spans="1:13" x14ac:dyDescent="0.25">
      <c r="A1" s="12" t="s">
        <v>358</v>
      </c>
      <c r="B1" s="12" t="s">
        <v>73</v>
      </c>
      <c r="C1" s="12" t="s">
        <v>74</v>
      </c>
      <c r="D1" s="12" t="s">
        <v>75</v>
      </c>
      <c r="E1" s="12" t="s">
        <v>76</v>
      </c>
      <c r="F1" s="12" t="s">
        <v>77</v>
      </c>
      <c r="G1" s="12" t="s">
        <v>78</v>
      </c>
      <c r="H1" s="12" t="s">
        <v>73</v>
      </c>
      <c r="I1" s="12" t="s">
        <v>74</v>
      </c>
      <c r="J1" s="12" t="s">
        <v>75</v>
      </c>
      <c r="K1" s="12" t="s">
        <v>76</v>
      </c>
      <c r="L1" s="12" t="s">
        <v>77</v>
      </c>
      <c r="M1" s="12" t="s">
        <v>78</v>
      </c>
    </row>
    <row r="2" spans="1:13" x14ac:dyDescent="0.25">
      <c r="A2" s="40">
        <v>1</v>
      </c>
      <c r="B2" s="37" t="s">
        <v>461</v>
      </c>
      <c r="C2" s="38"/>
      <c r="D2" s="38"/>
      <c r="E2" s="38"/>
      <c r="F2" s="38"/>
      <c r="G2" s="42"/>
      <c r="H2" s="18" t="s">
        <v>158</v>
      </c>
      <c r="I2" s="19"/>
      <c r="J2" s="19"/>
      <c r="K2" s="19"/>
      <c r="L2" s="19"/>
      <c r="M2" s="19"/>
    </row>
    <row r="3" spans="1:13" x14ac:dyDescent="0.25">
      <c r="A3" s="31">
        <f>IF(ISTEXT(B2), A2+1, A2)</f>
        <v>2</v>
      </c>
      <c r="B3" s="13">
        <v>1</v>
      </c>
      <c r="C3" s="14" t="s">
        <v>441</v>
      </c>
      <c r="D3" s="14" t="s">
        <v>81</v>
      </c>
      <c r="E3" s="14"/>
      <c r="F3" s="14"/>
      <c r="G3" s="14"/>
      <c r="H3" s="13">
        <v>72</v>
      </c>
      <c r="I3" s="14" t="s">
        <v>159</v>
      </c>
      <c r="J3" s="16" t="s">
        <v>85</v>
      </c>
      <c r="K3" s="14"/>
      <c r="L3" s="14"/>
      <c r="M3" s="14" t="s">
        <v>160</v>
      </c>
    </row>
    <row r="4" spans="1:13" x14ac:dyDescent="0.25">
      <c r="A4" s="31">
        <f>IF(ISTEXT(B3), A3+1, A3)</f>
        <v>2</v>
      </c>
      <c r="B4" s="13">
        <f>IF(ISTEXT(B3), B2+1, B3+1)</f>
        <v>2</v>
      </c>
      <c r="C4" s="14" t="s">
        <v>442</v>
      </c>
      <c r="D4" s="16"/>
      <c r="E4" s="14"/>
      <c r="F4" s="14"/>
      <c r="G4" s="14"/>
      <c r="H4" s="13">
        <v>73</v>
      </c>
      <c r="I4" s="14" t="s">
        <v>161</v>
      </c>
      <c r="J4" s="16" t="s">
        <v>85</v>
      </c>
      <c r="K4" s="14"/>
      <c r="L4" s="14"/>
      <c r="M4" s="14" t="s">
        <v>162</v>
      </c>
    </row>
    <row r="5" spans="1:13" x14ac:dyDescent="0.25">
      <c r="A5" s="40">
        <f>IF(ISTEXT(B4), A4+1, A4)</f>
        <v>2</v>
      </c>
      <c r="B5" s="47" t="s">
        <v>435</v>
      </c>
      <c r="C5" s="48"/>
      <c r="D5" s="48"/>
      <c r="E5" s="48"/>
      <c r="F5" s="48"/>
      <c r="G5" s="49"/>
      <c r="H5" s="13">
        <v>74</v>
      </c>
      <c r="I5" s="14" t="s">
        <v>163</v>
      </c>
      <c r="J5" s="16" t="s">
        <v>85</v>
      </c>
      <c r="K5" s="14"/>
      <c r="L5" s="14"/>
      <c r="M5" s="14" t="s">
        <v>162</v>
      </c>
    </row>
    <row r="6" spans="1:13" x14ac:dyDescent="0.25">
      <c r="A6" s="31">
        <f>IF(ISTEXT(B5), A5+1, A5)</f>
        <v>3</v>
      </c>
      <c r="B6" s="13">
        <f>IF(ISTEXT(B5), B4+1, B5+1)</f>
        <v>3</v>
      </c>
      <c r="C6" s="14" t="s">
        <v>460</v>
      </c>
      <c r="D6" s="14" t="s">
        <v>81</v>
      </c>
      <c r="E6" s="14"/>
      <c r="F6" s="14"/>
      <c r="G6" s="14"/>
      <c r="H6" s="13">
        <v>75</v>
      </c>
      <c r="I6" s="14" t="s">
        <v>164</v>
      </c>
      <c r="J6" s="16" t="s">
        <v>85</v>
      </c>
      <c r="K6" s="14"/>
      <c r="L6" s="14"/>
      <c r="M6" s="14" t="s">
        <v>162</v>
      </c>
    </row>
    <row r="7" spans="1:13" x14ac:dyDescent="0.25">
      <c r="A7" s="31">
        <f>IF(ISTEXT(B6), A6+1, A6)</f>
        <v>3</v>
      </c>
      <c r="B7" s="13">
        <f>IF(ISTEXT(B6), B5+1, B6+1)</f>
        <v>4</v>
      </c>
      <c r="C7" s="14" t="s">
        <v>455</v>
      </c>
      <c r="D7" s="14" t="s">
        <v>399</v>
      </c>
      <c r="E7" s="14"/>
      <c r="F7" s="14"/>
      <c r="G7" s="14"/>
      <c r="H7" s="13">
        <v>76</v>
      </c>
      <c r="I7" s="14" t="s">
        <v>165</v>
      </c>
      <c r="J7" s="16" t="s">
        <v>85</v>
      </c>
      <c r="K7" s="14"/>
      <c r="L7" s="14"/>
      <c r="M7" s="14" t="s">
        <v>162</v>
      </c>
    </row>
    <row r="8" spans="1:13" x14ac:dyDescent="0.25">
      <c r="A8" s="31">
        <f>IF(ISTEXT(B7), A7+1, A7)</f>
        <v>3</v>
      </c>
      <c r="B8" s="13">
        <f>IF(ISTEXT(B7), B6+1, B7+1)</f>
        <v>5</v>
      </c>
      <c r="C8" s="14" t="s">
        <v>439</v>
      </c>
      <c r="D8" s="14" t="s">
        <v>400</v>
      </c>
      <c r="E8" s="14"/>
      <c r="F8" s="14"/>
      <c r="G8" s="14"/>
      <c r="H8" s="13">
        <v>77</v>
      </c>
      <c r="I8" s="14" t="s">
        <v>166</v>
      </c>
      <c r="J8" s="15" t="s">
        <v>81</v>
      </c>
      <c r="K8" s="14"/>
      <c r="L8" s="14"/>
      <c r="M8" s="14" t="s">
        <v>167</v>
      </c>
    </row>
    <row r="9" spans="1:13" x14ac:dyDescent="0.25">
      <c r="A9" s="31">
        <f>IF(ISTEXT(B8), A8+1, A8)</f>
        <v>3</v>
      </c>
      <c r="B9" s="13">
        <f>IF(ISTEXT(B8), B7+1, B8+1)</f>
        <v>6</v>
      </c>
      <c r="C9" s="14" t="s">
        <v>440</v>
      </c>
      <c r="D9" s="14" t="s">
        <v>431</v>
      </c>
      <c r="E9" s="14"/>
      <c r="F9" s="14"/>
      <c r="G9" s="14"/>
      <c r="H9" s="13">
        <v>78</v>
      </c>
      <c r="I9" s="14" t="s">
        <v>168</v>
      </c>
      <c r="J9" s="16" t="s">
        <v>85</v>
      </c>
      <c r="K9" s="14"/>
      <c r="L9" s="14"/>
      <c r="M9" s="14" t="s">
        <v>169</v>
      </c>
    </row>
    <row r="10" spans="1:13" x14ac:dyDescent="0.25">
      <c r="A10" s="31">
        <f>IF(ISTEXT(B9), A9+1, A9)</f>
        <v>3</v>
      </c>
      <c r="B10" s="13">
        <f>IF(ISTEXT(B9), B8+1, B9+1)</f>
        <v>7</v>
      </c>
      <c r="C10" s="14" t="s">
        <v>459</v>
      </c>
      <c r="D10" s="16"/>
      <c r="E10" s="14"/>
      <c r="F10" s="14"/>
      <c r="G10" s="14"/>
      <c r="H10" s="18" t="s">
        <v>170</v>
      </c>
      <c r="I10" s="19"/>
      <c r="J10" s="19"/>
      <c r="K10" s="19"/>
      <c r="L10" s="19"/>
      <c r="M10" s="19"/>
    </row>
    <row r="11" spans="1:13" x14ac:dyDescent="0.25">
      <c r="A11" s="31">
        <f>IF(ISTEXT(B10), A10+1, A10)</f>
        <v>3</v>
      </c>
      <c r="B11" s="13">
        <f>IF(ISTEXT(B10), B9+1, B10+1)</f>
        <v>8</v>
      </c>
      <c r="C11" s="14" t="s">
        <v>458</v>
      </c>
      <c r="D11" s="15"/>
      <c r="E11" s="14"/>
      <c r="F11" s="14"/>
      <c r="G11" s="14"/>
      <c r="H11" s="13">
        <v>79</v>
      </c>
      <c r="I11" s="14" t="s">
        <v>171</v>
      </c>
      <c r="J11" s="16" t="s">
        <v>85</v>
      </c>
      <c r="K11" s="14"/>
      <c r="L11" s="14"/>
      <c r="M11" s="14" t="s">
        <v>172</v>
      </c>
    </row>
    <row r="12" spans="1:13" x14ac:dyDescent="0.25">
      <c r="A12" s="31">
        <f>IF(ISTEXT(B11), A11+1, A11)</f>
        <v>3</v>
      </c>
      <c r="B12" s="13">
        <f>IF(ISTEXT(B11), B10+1, B11+1)</f>
        <v>9</v>
      </c>
      <c r="C12" s="14" t="s">
        <v>457</v>
      </c>
      <c r="D12" s="16"/>
      <c r="E12" s="14"/>
      <c r="F12" s="14"/>
      <c r="G12" s="14"/>
      <c r="H12" s="13">
        <v>80</v>
      </c>
      <c r="I12" s="14" t="s">
        <v>173</v>
      </c>
      <c r="J12" s="16" t="s">
        <v>85</v>
      </c>
      <c r="K12" s="14"/>
      <c r="L12" s="14"/>
      <c r="M12" s="14" t="s">
        <v>174</v>
      </c>
    </row>
    <row r="13" spans="1:13" x14ac:dyDescent="0.25">
      <c r="A13" s="40">
        <f>IF(ISTEXT(B12), A12+1, A12)</f>
        <v>3</v>
      </c>
      <c r="B13" s="47" t="s">
        <v>496</v>
      </c>
      <c r="C13" s="48"/>
      <c r="D13" s="48"/>
      <c r="E13" s="48"/>
      <c r="F13" s="48"/>
      <c r="G13" s="49"/>
      <c r="H13" s="13" t="s">
        <v>495</v>
      </c>
      <c r="I13" s="14" t="s">
        <v>175</v>
      </c>
      <c r="J13" s="15" t="s">
        <v>81</v>
      </c>
      <c r="K13" s="14"/>
      <c r="L13" s="14"/>
      <c r="M13" s="14" t="s">
        <v>176</v>
      </c>
    </row>
    <row r="14" spans="1:13" x14ac:dyDescent="0.25">
      <c r="A14" s="31">
        <f>IF(ISTEXT(B13), A13+1, A13)</f>
        <v>4</v>
      </c>
      <c r="B14" s="13">
        <f>IF(ISTEXT(B13), B12+1, B13+1)</f>
        <v>10</v>
      </c>
      <c r="C14" s="14" t="s">
        <v>511</v>
      </c>
      <c r="D14" s="16"/>
      <c r="E14" s="14"/>
      <c r="F14" s="14"/>
      <c r="G14" s="14"/>
      <c r="H14" s="13">
        <v>82</v>
      </c>
      <c r="I14" s="14" t="s">
        <v>177</v>
      </c>
      <c r="J14" s="16" t="s">
        <v>85</v>
      </c>
      <c r="K14" s="14"/>
      <c r="L14" s="14"/>
      <c r="M14" s="14" t="s">
        <v>174</v>
      </c>
    </row>
    <row r="15" spans="1:13" x14ac:dyDescent="0.25">
      <c r="A15" s="31">
        <f>IF(ISTEXT(B14), A14+1, A14)</f>
        <v>4</v>
      </c>
      <c r="B15" s="13">
        <f>IF(ISTEXT(B14), B13+1, B14+1)</f>
        <v>11</v>
      </c>
      <c r="C15" s="14"/>
      <c r="D15" s="16"/>
      <c r="E15" s="14"/>
      <c r="F15" s="14"/>
      <c r="G15" s="14"/>
      <c r="H15" s="13"/>
      <c r="I15" s="14"/>
      <c r="J15" s="16"/>
      <c r="K15" s="14"/>
      <c r="L15" s="14"/>
      <c r="M15" s="14"/>
    </row>
    <row r="16" spans="1:13" x14ac:dyDescent="0.25">
      <c r="A16" s="31">
        <f>IF(ISTEXT(B15), A15+1, A15)</f>
        <v>4</v>
      </c>
      <c r="B16" s="13">
        <f>IF(ISTEXT(B15), B14+1, B15+1)</f>
        <v>12</v>
      </c>
      <c r="C16" s="14"/>
      <c r="D16" s="15"/>
      <c r="E16" s="14"/>
      <c r="F16" s="14"/>
      <c r="G16" s="14"/>
      <c r="H16" s="13">
        <v>83</v>
      </c>
      <c r="I16" s="14" t="s">
        <v>178</v>
      </c>
      <c r="J16" s="15" t="s">
        <v>81</v>
      </c>
      <c r="K16" s="14"/>
      <c r="L16" s="14"/>
      <c r="M16" s="14" t="s">
        <v>179</v>
      </c>
    </row>
    <row r="17" spans="1:13" x14ac:dyDescent="0.25">
      <c r="A17" s="31">
        <f>IF(ISTEXT(B16), A16+1, A16)</f>
        <v>4</v>
      </c>
      <c r="B17" s="13">
        <f>IF(ISTEXT(B16), B15+1, B16+1)</f>
        <v>13</v>
      </c>
      <c r="C17" s="14"/>
      <c r="D17" s="16"/>
      <c r="E17" s="14"/>
      <c r="F17" s="14"/>
      <c r="G17" s="14"/>
      <c r="H17" s="14"/>
      <c r="I17" s="14"/>
      <c r="J17" s="23"/>
      <c r="K17" s="22"/>
      <c r="L17" s="22"/>
      <c r="M17" s="22"/>
    </row>
    <row r="18" spans="1:13" x14ac:dyDescent="0.25">
      <c r="A18" s="31">
        <f>IF(ISTEXT(B17), A17+1, A17)</f>
        <v>4</v>
      </c>
      <c r="B18" s="13">
        <f>IF(ISTEXT(B17), B16+1, B17+1)</f>
        <v>14</v>
      </c>
      <c r="C18" s="14"/>
      <c r="D18" s="16"/>
      <c r="E18" s="14"/>
      <c r="F18" s="14"/>
      <c r="G18" s="14"/>
      <c r="H18" s="14"/>
      <c r="I18" s="14"/>
      <c r="J18" s="23"/>
      <c r="K18" s="22"/>
      <c r="L18" s="22"/>
      <c r="M18" s="22"/>
    </row>
    <row r="19" spans="1:13" x14ac:dyDescent="0.25">
      <c r="A19" s="31">
        <f>IF(ISTEXT(B18), A18+1, A18)</f>
        <v>4</v>
      </c>
      <c r="B19" s="13">
        <f>IF(ISTEXT(B18), B17+1, B18+1)</f>
        <v>15</v>
      </c>
      <c r="C19" s="14"/>
      <c r="D19" s="15"/>
      <c r="E19" s="14"/>
      <c r="F19" s="14"/>
      <c r="G19" s="14"/>
      <c r="H19" s="14"/>
      <c r="I19" s="14"/>
      <c r="J19" s="23"/>
      <c r="K19" s="22"/>
      <c r="L19" s="22"/>
      <c r="M19" s="22"/>
    </row>
    <row r="20" spans="1:13" x14ac:dyDescent="0.25">
      <c r="A20" s="31">
        <f>IF(ISTEXT(B19), A19+1, A19)</f>
        <v>4</v>
      </c>
      <c r="B20" s="13">
        <f>IF(ISTEXT(B19), B18+1, B19+1)</f>
        <v>16</v>
      </c>
      <c r="C20" s="14"/>
      <c r="D20" s="15"/>
      <c r="E20" s="14"/>
      <c r="F20" s="14"/>
      <c r="G20" s="14"/>
      <c r="H20" s="14"/>
      <c r="I20" s="14"/>
      <c r="J20" s="23"/>
      <c r="K20" s="22"/>
      <c r="L20" s="22"/>
      <c r="M20" s="22"/>
    </row>
    <row r="21" spans="1:13" x14ac:dyDescent="0.25">
      <c r="A21" s="31">
        <f>IF(ISTEXT(B20), A20+1, A20)</f>
        <v>4</v>
      </c>
      <c r="B21" s="13">
        <f>IF(ISTEXT(B20), B19+1, B20+1)</f>
        <v>17</v>
      </c>
      <c r="C21" s="14"/>
      <c r="D21" s="15"/>
      <c r="E21" s="14"/>
      <c r="F21" s="14"/>
      <c r="G21" s="14"/>
      <c r="H21" s="18" t="s">
        <v>180</v>
      </c>
      <c r="I21" s="19"/>
      <c r="J21" s="19"/>
      <c r="K21" s="19"/>
      <c r="L21" s="19"/>
      <c r="M21" s="19"/>
    </row>
    <row r="22" spans="1:13" x14ac:dyDescent="0.25">
      <c r="A22" s="31">
        <f>IF(ISTEXT(B21), A21+1, A21)</f>
        <v>4</v>
      </c>
      <c r="B22" s="13">
        <f>IF(ISTEXT(B21), B20+1, B21+1)</f>
        <v>18</v>
      </c>
      <c r="C22" s="14"/>
      <c r="D22" s="15"/>
      <c r="E22" s="14"/>
      <c r="F22" s="14"/>
      <c r="G22" s="14"/>
      <c r="H22" s="13">
        <v>84</v>
      </c>
      <c r="I22" s="14" t="s">
        <v>181</v>
      </c>
      <c r="J22" s="16" t="s">
        <v>85</v>
      </c>
      <c r="K22" s="14"/>
      <c r="L22" s="14"/>
      <c r="M22" s="14" t="s">
        <v>182</v>
      </c>
    </row>
    <row r="23" spans="1:13" x14ac:dyDescent="0.25">
      <c r="A23" s="31">
        <f>IF(ISTEXT(B22), A22+1, A22)</f>
        <v>4</v>
      </c>
      <c r="B23" s="13">
        <f>IF(ISTEXT(B22), B21+1, B22+1)</f>
        <v>19</v>
      </c>
      <c r="C23" s="14"/>
      <c r="D23" s="15"/>
      <c r="E23" s="14"/>
      <c r="F23" s="14"/>
      <c r="G23" s="14"/>
      <c r="H23" s="13">
        <v>85</v>
      </c>
      <c r="I23" s="14" t="s">
        <v>183</v>
      </c>
      <c r="J23" s="16" t="s">
        <v>85</v>
      </c>
      <c r="K23" s="14"/>
      <c r="L23" s="14"/>
      <c r="M23" s="14" t="s">
        <v>184</v>
      </c>
    </row>
    <row r="24" spans="1:13" x14ac:dyDescent="0.25">
      <c r="A24" s="40">
        <f>IF(ISTEXT(B12), A12+1, A12)</f>
        <v>3</v>
      </c>
      <c r="B24" s="47" t="s">
        <v>436</v>
      </c>
      <c r="C24" s="48"/>
      <c r="D24" s="48"/>
      <c r="E24" s="48"/>
      <c r="F24" s="48"/>
      <c r="G24" s="49"/>
      <c r="H24" s="13">
        <v>86</v>
      </c>
      <c r="I24" s="14" t="s">
        <v>185</v>
      </c>
      <c r="J24" s="15" t="s">
        <v>81</v>
      </c>
      <c r="K24" s="14"/>
      <c r="L24" s="14"/>
      <c r="M24" s="14" t="s">
        <v>186</v>
      </c>
    </row>
    <row r="25" spans="1:13" x14ac:dyDescent="0.25">
      <c r="A25" s="31">
        <f>IF(ISTEXT(B24), A24+1, A24)</f>
        <v>4</v>
      </c>
      <c r="B25" s="13">
        <f>IF(ISTEXT(B24), B12+1, B24+1)</f>
        <v>10</v>
      </c>
      <c r="C25" s="14" t="s">
        <v>437</v>
      </c>
      <c r="D25" s="16"/>
      <c r="E25" s="14"/>
      <c r="F25" s="14"/>
      <c r="G25" s="14"/>
      <c r="H25" s="13">
        <v>87</v>
      </c>
      <c r="I25" s="14" t="s">
        <v>187</v>
      </c>
      <c r="J25" s="15" t="s">
        <v>81</v>
      </c>
      <c r="K25" s="14"/>
      <c r="L25" s="14"/>
      <c r="M25" s="14" t="s">
        <v>188</v>
      </c>
    </row>
    <row r="26" spans="1:13" x14ac:dyDescent="0.25">
      <c r="A26" s="31">
        <f>IF(ISTEXT(B25), A25+1, A25)</f>
        <v>4</v>
      </c>
      <c r="B26" s="13">
        <f>IF(ISTEXT(B25), B24+1, B25+1)</f>
        <v>11</v>
      </c>
      <c r="C26" s="14" t="s">
        <v>438</v>
      </c>
      <c r="D26" s="16"/>
      <c r="E26" s="14"/>
      <c r="F26" s="14"/>
      <c r="G26" s="14"/>
      <c r="H26" s="13">
        <v>88</v>
      </c>
      <c r="I26" s="14" t="s">
        <v>189</v>
      </c>
      <c r="J26" s="16" t="s">
        <v>85</v>
      </c>
      <c r="K26" s="14"/>
      <c r="L26" s="14"/>
      <c r="M26" s="14" t="s">
        <v>190</v>
      </c>
    </row>
    <row r="27" spans="1:13" x14ac:dyDescent="0.25">
      <c r="A27" s="31">
        <f>IF(ISTEXT(B26), A26+1, A26)</f>
        <v>4</v>
      </c>
      <c r="B27" s="13">
        <f>IF(ISTEXT(B26), B25+1, B26+1)</f>
        <v>12</v>
      </c>
      <c r="C27" s="14" t="s">
        <v>456</v>
      </c>
      <c r="D27" s="15"/>
      <c r="E27" s="14"/>
      <c r="F27" s="14"/>
      <c r="G27" s="14"/>
      <c r="H27" s="18" t="s">
        <v>191</v>
      </c>
      <c r="I27" s="19"/>
      <c r="J27" s="19"/>
      <c r="K27" s="19"/>
      <c r="L27" s="19"/>
      <c r="M27" s="19"/>
    </row>
    <row r="28" spans="1:13" x14ac:dyDescent="0.25">
      <c r="A28" s="31">
        <f>IF(ISTEXT(B27), A27+1, A27)</f>
        <v>4</v>
      </c>
      <c r="B28" s="13">
        <f>IF(ISTEXT(B27), B26+1, B27+1)</f>
        <v>13</v>
      </c>
      <c r="C28" s="14" t="s">
        <v>470</v>
      </c>
      <c r="D28" s="16"/>
      <c r="E28" s="14"/>
      <c r="F28" s="14"/>
      <c r="G28" s="14"/>
      <c r="H28" s="13">
        <v>89</v>
      </c>
      <c r="I28" s="14" t="s">
        <v>192</v>
      </c>
      <c r="J28" s="16" t="s">
        <v>85</v>
      </c>
      <c r="K28" s="14"/>
      <c r="L28" s="14"/>
      <c r="M28" s="14" t="s">
        <v>193</v>
      </c>
    </row>
    <row r="29" spans="1:13" x14ac:dyDescent="0.25">
      <c r="A29" s="31">
        <f>IF(ISTEXT(B28), A28+1, A28)</f>
        <v>4</v>
      </c>
      <c r="B29" s="13">
        <f>IF(ISTEXT(B28), B27+1, B28+1)</f>
        <v>14</v>
      </c>
      <c r="C29" s="14" t="s">
        <v>471</v>
      </c>
      <c r="D29" s="16"/>
      <c r="E29" s="14"/>
      <c r="F29" s="14"/>
      <c r="G29" s="14"/>
      <c r="H29" s="13">
        <v>90</v>
      </c>
      <c r="I29" s="14" t="s">
        <v>194</v>
      </c>
      <c r="J29" s="15" t="s">
        <v>81</v>
      </c>
      <c r="K29" s="14"/>
      <c r="L29" s="14"/>
      <c r="M29" s="14" t="s">
        <v>140</v>
      </c>
    </row>
    <row r="30" spans="1:13" x14ac:dyDescent="0.25">
      <c r="A30" s="31">
        <f>IF(ISTEXT(B29), A29+1, A29)</f>
        <v>4</v>
      </c>
      <c r="B30" s="13">
        <f>IF(ISTEXT(B29), B28+1, B29+1)</f>
        <v>15</v>
      </c>
      <c r="C30" s="14"/>
      <c r="D30" s="15"/>
      <c r="E30" s="14"/>
      <c r="F30" s="14"/>
      <c r="G30" s="14"/>
      <c r="H30" s="13">
        <v>91</v>
      </c>
      <c r="I30" s="14" t="s">
        <v>195</v>
      </c>
      <c r="J30" s="15" t="s">
        <v>81</v>
      </c>
      <c r="K30" s="14"/>
      <c r="L30" s="14"/>
      <c r="M30" s="14" t="s">
        <v>140</v>
      </c>
    </row>
    <row r="31" spans="1:13" x14ac:dyDescent="0.25">
      <c r="A31" s="31">
        <f>IF(ISTEXT(B30), A30+1, A30)</f>
        <v>4</v>
      </c>
      <c r="B31" s="13">
        <f>IF(ISTEXT(B30), B29+1, B30+1)</f>
        <v>16</v>
      </c>
      <c r="C31" s="14"/>
      <c r="D31" s="15"/>
      <c r="E31" s="14"/>
      <c r="F31" s="14"/>
      <c r="G31" s="14"/>
      <c r="H31" s="13">
        <v>92</v>
      </c>
      <c r="I31" s="14" t="s">
        <v>196</v>
      </c>
      <c r="J31" s="15" t="s">
        <v>81</v>
      </c>
      <c r="K31" s="14"/>
      <c r="L31" s="14"/>
      <c r="M31" s="14" t="s">
        <v>140</v>
      </c>
    </row>
    <row r="32" spans="1:13" x14ac:dyDescent="0.25">
      <c r="A32" s="31">
        <f>IF(ISTEXT(B31), A31+1, A31)</f>
        <v>4</v>
      </c>
      <c r="B32" s="13">
        <f>IF(ISTEXT(B31), B30+1, B31+1)</f>
        <v>17</v>
      </c>
      <c r="C32" s="14"/>
      <c r="D32" s="15"/>
      <c r="E32" s="14"/>
      <c r="F32" s="14"/>
      <c r="G32" s="14"/>
      <c r="H32" s="13">
        <v>93</v>
      </c>
      <c r="I32" s="14" t="s">
        <v>197</v>
      </c>
      <c r="J32" s="15" t="s">
        <v>81</v>
      </c>
      <c r="K32" s="14"/>
      <c r="L32" s="14"/>
      <c r="M32" s="14" t="s">
        <v>198</v>
      </c>
    </row>
    <row r="33" spans="1:13" x14ac:dyDescent="0.25">
      <c r="A33" s="31">
        <f>IF(ISTEXT(B32), A32+1, A32)</f>
        <v>4</v>
      </c>
      <c r="B33" s="13">
        <f>IF(ISTEXT(B32), B31+1, B32+1)</f>
        <v>18</v>
      </c>
      <c r="C33" s="14"/>
      <c r="D33" s="15"/>
      <c r="E33" s="14"/>
      <c r="F33" s="14"/>
      <c r="G33" s="14"/>
      <c r="H33" s="18" t="s">
        <v>199</v>
      </c>
      <c r="I33" s="19"/>
      <c r="J33" s="19"/>
      <c r="K33" s="19"/>
      <c r="L33" s="19"/>
      <c r="M33" s="19"/>
    </row>
    <row r="34" spans="1:13" x14ac:dyDescent="0.25">
      <c r="A34" s="31">
        <f>IF(ISTEXT(B33), A33+1, A33)</f>
        <v>4</v>
      </c>
      <c r="B34" s="13">
        <f>IF(ISTEXT(B33), B32+1, B33+1)</f>
        <v>19</v>
      </c>
      <c r="C34" s="14"/>
      <c r="D34" s="15"/>
      <c r="E34" s="14"/>
      <c r="F34" s="14"/>
      <c r="G34" s="14"/>
      <c r="H34" s="13">
        <v>94</v>
      </c>
      <c r="I34" s="14" t="s">
        <v>200</v>
      </c>
      <c r="J34" s="16" t="s">
        <v>85</v>
      </c>
      <c r="K34" s="14"/>
      <c r="L34" s="14"/>
      <c r="M34" s="14" t="s">
        <v>201</v>
      </c>
    </row>
    <row r="35" spans="1:13" x14ac:dyDescent="0.25">
      <c r="A35" s="40">
        <f>IF(ISTEXT(B34), A34+1, A34)</f>
        <v>4</v>
      </c>
      <c r="B35" s="53" t="s">
        <v>469</v>
      </c>
      <c r="C35" s="54"/>
      <c r="D35" s="54"/>
      <c r="E35" s="54"/>
      <c r="F35" s="54"/>
      <c r="G35" s="55"/>
      <c r="H35" s="13">
        <v>95</v>
      </c>
      <c r="I35" s="14" t="s">
        <v>202</v>
      </c>
      <c r="J35" s="16" t="s">
        <v>85</v>
      </c>
      <c r="K35" s="14"/>
      <c r="L35" s="14"/>
      <c r="M35" s="14" t="s">
        <v>203</v>
      </c>
    </row>
    <row r="36" spans="1:13" x14ac:dyDescent="0.25">
      <c r="A36" s="31">
        <f>IF(ISTEXT(B35), A35+1, A35)</f>
        <v>5</v>
      </c>
      <c r="B36" s="13">
        <f>IF(ISTEXT(B35), B34+1, B35+1)</f>
        <v>20</v>
      </c>
      <c r="C36" s="14"/>
      <c r="D36" s="16"/>
      <c r="E36" s="14"/>
      <c r="F36" s="14"/>
      <c r="G36" s="14"/>
      <c r="H36" s="13">
        <v>96</v>
      </c>
      <c r="I36" s="14" t="s">
        <v>204</v>
      </c>
      <c r="J36" s="16" t="s">
        <v>85</v>
      </c>
      <c r="K36" s="14"/>
      <c r="L36" s="14"/>
      <c r="M36" s="14" t="s">
        <v>203</v>
      </c>
    </row>
    <row r="37" spans="1:13" x14ac:dyDescent="0.25">
      <c r="A37" s="31">
        <f>IF(ISTEXT(B36), A36+1, A36)</f>
        <v>5</v>
      </c>
      <c r="B37" s="13">
        <f>IF(ISTEXT(B36), B35+1, B36+1)</f>
        <v>21</v>
      </c>
      <c r="C37" s="14"/>
      <c r="D37" s="16"/>
      <c r="E37" s="14"/>
      <c r="F37" s="14"/>
      <c r="G37" s="14"/>
      <c r="H37" s="13">
        <v>97</v>
      </c>
      <c r="I37" s="14" t="s">
        <v>205</v>
      </c>
      <c r="J37" s="15" t="s">
        <v>81</v>
      </c>
      <c r="K37" s="14"/>
      <c r="L37" s="14"/>
      <c r="M37" s="14" t="s">
        <v>206</v>
      </c>
    </row>
    <row r="38" spans="1:13" x14ac:dyDescent="0.25">
      <c r="A38" s="31">
        <f>IF(ISTEXT(B37), A37+1, A37)</f>
        <v>5</v>
      </c>
      <c r="B38" s="13">
        <f>IF(ISTEXT(B37), B36+1, B37+1)</f>
        <v>22</v>
      </c>
      <c r="C38" s="14"/>
      <c r="D38" s="15"/>
      <c r="E38" s="14"/>
      <c r="F38" s="14"/>
      <c r="G38" s="14"/>
      <c r="H38" s="18" t="s">
        <v>207</v>
      </c>
      <c r="I38" s="19"/>
      <c r="J38" s="19"/>
      <c r="K38" s="19"/>
      <c r="L38" s="19"/>
      <c r="M38" s="19"/>
    </row>
    <row r="39" spans="1:13" x14ac:dyDescent="0.25">
      <c r="A39" s="31">
        <f>IF(ISTEXT(B38), A38+1, A38)</f>
        <v>5</v>
      </c>
      <c r="B39" s="13">
        <f>IF(ISTEXT(B38), B37+1, B38+1)</f>
        <v>23</v>
      </c>
      <c r="C39" s="14"/>
      <c r="D39" s="15"/>
      <c r="E39" s="14"/>
      <c r="F39" s="14"/>
      <c r="G39" s="14"/>
      <c r="H39" s="13">
        <v>98</v>
      </c>
      <c r="I39" s="14" t="s">
        <v>208</v>
      </c>
      <c r="J39" s="16" t="s">
        <v>85</v>
      </c>
      <c r="K39" s="14"/>
      <c r="L39" s="14"/>
      <c r="M39" s="14" t="s">
        <v>209</v>
      </c>
    </row>
    <row r="40" spans="1:13" x14ac:dyDescent="0.25">
      <c r="A40" s="31">
        <f>IF(ISTEXT(B39), A39+1, A39)</f>
        <v>5</v>
      </c>
      <c r="B40" s="13">
        <f>IF(ISTEXT(B39), B38+1, B39+1)</f>
        <v>24</v>
      </c>
      <c r="C40" s="14"/>
      <c r="D40" s="16"/>
      <c r="E40" s="14"/>
      <c r="F40" s="14"/>
      <c r="G40" s="14"/>
      <c r="H40" s="13">
        <v>99</v>
      </c>
      <c r="I40" s="14" t="s">
        <v>210</v>
      </c>
      <c r="J40" s="15" t="s">
        <v>81</v>
      </c>
      <c r="K40" s="14"/>
      <c r="L40" s="14"/>
      <c r="M40" s="14" t="s">
        <v>211</v>
      </c>
    </row>
    <row r="41" spans="1:13" x14ac:dyDescent="0.25">
      <c r="H41" s="13">
        <v>100</v>
      </c>
      <c r="I41" s="14" t="s">
        <v>212</v>
      </c>
      <c r="J41" s="15" t="s">
        <v>81</v>
      </c>
      <c r="K41" s="14"/>
      <c r="L41" s="14"/>
      <c r="M41" s="14" t="s">
        <v>213</v>
      </c>
    </row>
    <row r="42" spans="1:13" x14ac:dyDescent="0.25">
      <c r="H42" s="13">
        <v>101</v>
      </c>
      <c r="I42" s="14" t="s">
        <v>214</v>
      </c>
      <c r="J42" s="16" t="s">
        <v>85</v>
      </c>
      <c r="K42" s="14"/>
      <c r="L42" s="14"/>
      <c r="M42" s="14" t="s">
        <v>209</v>
      </c>
    </row>
    <row r="43" spans="1:13" x14ac:dyDescent="0.25">
      <c r="H43" s="13">
        <v>102</v>
      </c>
      <c r="I43" s="14" t="s">
        <v>215</v>
      </c>
      <c r="J43" s="15" t="s">
        <v>81</v>
      </c>
      <c r="K43" s="14"/>
      <c r="L43" s="14"/>
      <c r="M43" s="14" t="s">
        <v>216</v>
      </c>
    </row>
    <row r="44" spans="1:13" x14ac:dyDescent="0.25">
      <c r="H44" s="13">
        <v>103</v>
      </c>
      <c r="I44" s="14" t="s">
        <v>217</v>
      </c>
      <c r="J44" s="16" t="s">
        <v>85</v>
      </c>
      <c r="K44" s="14"/>
      <c r="L44" s="14"/>
      <c r="M44" s="14" t="s">
        <v>218</v>
      </c>
    </row>
    <row r="45" spans="1:13" x14ac:dyDescent="0.25">
      <c r="H45" s="13">
        <v>104</v>
      </c>
      <c r="I45" s="14" t="s">
        <v>219</v>
      </c>
      <c r="J45" s="15" t="s">
        <v>81</v>
      </c>
      <c r="K45" s="14"/>
      <c r="L45" s="14"/>
      <c r="M45" s="14" t="s">
        <v>218</v>
      </c>
    </row>
    <row r="48" spans="1:13" x14ac:dyDescent="0.25">
      <c r="D48" s="14" t="s">
        <v>81</v>
      </c>
    </row>
    <row r="49" spans="4:4" x14ac:dyDescent="0.25">
      <c r="D49" s="14" t="s">
        <v>399</v>
      </c>
    </row>
    <row r="50" spans="4:4" x14ac:dyDescent="0.25">
      <c r="D50" s="14" t="s">
        <v>400</v>
      </c>
    </row>
    <row r="51" spans="4:4" x14ac:dyDescent="0.25">
      <c r="D51" s="14" t="s">
        <v>431</v>
      </c>
    </row>
  </sheetData>
  <mergeCells count="11">
    <mergeCell ref="B2:G2"/>
    <mergeCell ref="B13:G13"/>
    <mergeCell ref="B35:G35"/>
    <mergeCell ref="H27:M27"/>
    <mergeCell ref="H33:M33"/>
    <mergeCell ref="H38:M38"/>
    <mergeCell ref="B5:G5"/>
    <mergeCell ref="H2:M2"/>
    <mergeCell ref="H10:M10"/>
    <mergeCell ref="H21:M21"/>
    <mergeCell ref="B24:G24"/>
  </mergeCells>
  <conditionalFormatting sqref="D6:D9">
    <cfRule type="cellIs" dxfId="17" priority="15" operator="equal">
      <formula>"Custom"</formula>
    </cfRule>
    <cfRule type="cellIs" dxfId="16" priority="16" operator="equal">
      <formula>"Vendor"</formula>
    </cfRule>
    <cfRule type="cellIs" dxfId="15" priority="17" operator="equal">
      <formula>"IT\OT"</formula>
    </cfRule>
    <cfRule type="cellIs" dxfId="14" priority="18" operator="equal">
      <formula>"Site"</formula>
    </cfRule>
  </conditionalFormatting>
  <conditionalFormatting sqref="D1:D34 D52:D1048576 D36:D47">
    <cfRule type="cellIs" dxfId="13" priority="10" operator="equal">
      <formula>""</formula>
    </cfRule>
    <cfRule type="cellIs" dxfId="12" priority="11" operator="equal">
      <formula>"Custom"</formula>
    </cfRule>
    <cfRule type="cellIs" dxfId="11" priority="12" operator="equal">
      <formula>"Vendor"</formula>
    </cfRule>
    <cfRule type="cellIs" dxfId="10" priority="13" operator="equal">
      <formula>"IT\OT"</formula>
    </cfRule>
    <cfRule type="cellIs" dxfId="9" priority="14" operator="equal">
      <formula>"Site"</formula>
    </cfRule>
  </conditionalFormatting>
  <conditionalFormatting sqref="D49:D51">
    <cfRule type="cellIs" dxfId="8" priority="6" operator="equal">
      <formula>"Custom"</formula>
    </cfRule>
    <cfRule type="cellIs" dxfId="7" priority="7" operator="equal">
      <formula>"Vendor"</formula>
    </cfRule>
    <cfRule type="cellIs" dxfId="6" priority="8" operator="equal">
      <formula>"IT\OT"</formula>
    </cfRule>
    <cfRule type="cellIs" dxfId="5" priority="9" operator="equal">
      <formula>"Site"</formula>
    </cfRule>
  </conditionalFormatting>
  <conditionalFormatting sqref="D48:D51">
    <cfRule type="cellIs" dxfId="4" priority="1" operator="equal">
      <formula>""</formula>
    </cfRule>
    <cfRule type="cellIs" dxfId="3" priority="2" operator="equal">
      <formula>"Custom"</formula>
    </cfRule>
    <cfRule type="cellIs" dxfId="2" priority="3" operator="equal">
      <formula>"Vendor"</formula>
    </cfRule>
    <cfRule type="cellIs" dxfId="1" priority="4" operator="equal">
      <formula>"IT\OT"</formula>
    </cfRule>
    <cfRule type="cellIs" dxfId="0" priority="5" operator="equal">
      <formula>"Site"</formula>
    </cfRule>
  </conditionalFormatting>
  <pageMargins left="0.75" right="0.75" top="1" bottom="1" header="0.5" footer="0.5"/>
</worksheet>
</file>

<file path=docMetadata/LabelInfo.xml><?xml version="1.0" encoding="utf-8"?>
<clbl:labelList xmlns:clbl="http://schemas.microsoft.com/office/2020/mipLabelMetadata">
  <clbl:label id="{17a241b2-6b05-453b-98eb-ec32a0b91c8d}" enabled="1" method="Privileged" siteId="{1640f4ce-86c6-44f2-a477-06bd39617e9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 Summary DELETE</vt:lpstr>
      <vt:lpstr>Executive Summary</vt:lpstr>
      <vt:lpstr>Follow Up</vt:lpstr>
      <vt:lpstr>0-Cleanup (Pre-license)</vt:lpstr>
      <vt:lpstr>1-Custom Solutions</vt:lpstr>
      <vt:lpstr>2-Pre-Planning</vt:lpstr>
      <vt:lpstr>3-OSW Completion</vt:lpstr>
      <vt:lpstr>4-Deployment Readiness</vt:lpstr>
      <vt:lpstr>5-Validation &amp; Go-Live</vt:lpstr>
      <vt:lpstr>6-Parallel run</vt:lpstr>
      <vt:lpstr>7-Decomission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Schubert, Barbara</cp:lastModifiedBy>
  <dcterms:created xsi:type="dcterms:W3CDTF">2026-01-16T20:30:35Z</dcterms:created>
  <dcterms:modified xsi:type="dcterms:W3CDTF">2026-01-27T12:30:36Z</dcterms:modified>
</cp:coreProperties>
</file>