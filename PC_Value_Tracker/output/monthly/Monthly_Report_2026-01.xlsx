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By Stream" sheetId="3" state="visible" r:id="rId3"/>
    <sheet xmlns:r="http://schemas.openxmlformats.org/officeDocument/2006/relationships" name="By 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PC VALUE TRACKER — MONTHLY SUMMARY</t>
        </is>
      </c>
      <c r="B1" t="inlineStr"/>
    </row>
    <row r="2">
      <c r="A2" t="inlineStr">
        <is>
          <t>Month:</t>
        </is>
      </c>
      <c r="B2" t="inlineStr">
        <is>
          <t>January 2026</t>
        </is>
      </c>
    </row>
    <row r="3">
      <c r="A3" t="inlineStr">
        <is>
          <t>Generated:</t>
        </is>
      </c>
      <c r="B3" t="inlineStr">
        <is>
          <t>2026-01-24 17:34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12</v>
      </c>
    </row>
    <row r="6">
      <c r="A6" t="inlineStr"/>
      <c r="B6" t="inlineStr"/>
    </row>
    <row r="7">
      <c r="A7" t="inlineStr">
        <is>
          <t>BY STREAM</t>
        </is>
      </c>
      <c r="B7" t="inlineStr">
        <is>
          <t>Count</t>
        </is>
      </c>
    </row>
    <row r="8">
      <c r="A8" s="1" t="inlineStr">
        <is>
          <t>Day-to-Day</t>
        </is>
      </c>
      <c r="B8" t="n">
        <v>8</v>
      </c>
    </row>
    <row r="9">
      <c r="A9" t="inlineStr">
        <is>
          <t>Project</t>
        </is>
      </c>
      <c r="B9" t="n">
        <v>3</v>
      </c>
    </row>
    <row r="10">
      <c r="A10" t="inlineStr">
        <is>
          <t>Diagnostic</t>
        </is>
      </c>
      <c r="B10" t="n">
        <v>1</v>
      </c>
    </row>
    <row r="11">
      <c r="A11" t="inlineStr"/>
      <c r="B11" t="inlineStr"/>
    </row>
    <row r="12">
      <c r="A12" t="inlineStr">
        <is>
          <t>BY SYSTEM</t>
        </is>
      </c>
      <c r="B12" t="inlineStr">
        <is>
          <t>Count</t>
        </is>
      </c>
    </row>
    <row r="13">
      <c r="A13" t="inlineStr">
        <is>
          <t>Alarm</t>
        </is>
      </c>
      <c r="B13" t="n">
        <v>5</v>
      </c>
    </row>
    <row r="14">
      <c r="A14" s="1" t="inlineStr">
        <is>
          <t>DCS</t>
        </is>
      </c>
      <c r="B14" t="n">
        <v>4</v>
      </c>
    </row>
    <row r="15">
      <c r="A15" t="inlineStr">
        <is>
          <t>Other</t>
        </is>
      </c>
      <c r="B15" t="n">
        <v>2</v>
      </c>
    </row>
    <row r="16">
      <c r="A16" t="inlineStr">
        <is>
          <t>PLC</t>
        </is>
      </c>
      <c r="B16" t="n">
        <v>1</v>
      </c>
    </row>
    <row r="17">
      <c r="A17" t="inlineStr"/>
      <c r="B17" t="inlineStr"/>
    </row>
    <row r="18">
      <c r="A18" t="inlineStr">
        <is>
          <t>BY COMPLEXITY</t>
        </is>
      </c>
      <c r="B18" t="inlineStr">
        <is>
          <t>Count</t>
        </is>
      </c>
    </row>
    <row r="19">
      <c r="A19" t="inlineStr">
        <is>
          <t>Moderate</t>
        </is>
      </c>
      <c r="B19" t="n">
        <v>7</v>
      </c>
    </row>
    <row r="20">
      <c r="A20" t="inlineStr">
        <is>
          <t>Quick</t>
        </is>
      </c>
      <c r="B20" t="n">
        <v>5</v>
      </c>
    </row>
    <row r="21">
      <c r="A21" t="inlineStr"/>
      <c r="B21" t="inlineStr"/>
    </row>
    <row r="22">
      <c r="A22" t="inlineStr">
        <is>
          <t>BY BUSINESS IMPACT</t>
        </is>
      </c>
      <c r="B22" t="inlineStr">
        <is>
          <t>Count</t>
        </is>
      </c>
    </row>
    <row r="23">
      <c r="A23" t="inlineStr">
        <is>
          <t>Compliance</t>
        </is>
      </c>
      <c r="B23" t="n">
        <v>6</v>
      </c>
    </row>
    <row r="24">
      <c r="A24" t="inlineStr">
        <is>
          <t>Efficiency</t>
        </is>
      </c>
      <c r="B24" t="n">
        <v>3</v>
      </c>
    </row>
    <row r="25">
      <c r="A25" t="inlineStr">
        <is>
          <t>Low</t>
        </is>
      </c>
      <c r="B25" t="n">
        <v>3</v>
      </c>
    </row>
    <row r="26">
      <c r="A26" t="inlineStr"/>
      <c r="B26" t="inlineStr"/>
    </row>
    <row r="27">
      <c r="A27" t="inlineStr">
        <is>
          <t>BY RESOLUTION</t>
        </is>
      </c>
      <c r="B27" t="inlineStr">
        <is>
          <t>Count</t>
        </is>
      </c>
    </row>
    <row r="28">
      <c r="A28" t="inlineStr">
        <is>
          <t>Pending</t>
        </is>
      </c>
      <c r="B28" t="n">
        <v>5</v>
      </c>
    </row>
    <row r="29">
      <c r="A29" t="inlineStr">
        <is>
          <t>Fixed</t>
        </is>
      </c>
      <c r="B29" t="n">
        <v>3</v>
      </c>
    </row>
    <row r="30">
      <c r="A30" t="inlineStr">
        <is>
          <t>Handed Off</t>
        </is>
      </c>
      <c r="B30" t="n">
        <v>2</v>
      </c>
    </row>
    <row r="31">
      <c r="A31" t="inlineStr">
        <is>
          <t>Escalated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2026-01-06</t>
        </is>
      </c>
      <c r="B2" t="inlineStr">
        <is>
          <t>DCS — Experion</t>
        </is>
      </c>
      <c r="C2" t="inlineStr">
        <is>
          <t>Auto-suppress 57DAS002 recommendation.</t>
        </is>
      </c>
      <c r="D2" t="inlineStr">
        <is>
          <t>Day-to-Day</t>
        </is>
      </c>
      <c r="E2" t="inlineStr">
        <is>
          <t>Quick</t>
        </is>
      </c>
      <c r="F2" t="inlineStr">
        <is>
          <t>Handed Off</t>
        </is>
      </c>
      <c r="G2" t="inlineStr">
        <is>
          <t>Efficiency</t>
        </is>
      </c>
    </row>
    <row r="3">
      <c r="A3" t="inlineStr">
        <is>
          <t>2026-01-12</t>
        </is>
      </c>
      <c r="B3" t="inlineStr">
        <is>
          <t>Alarm — DynAMo</t>
        </is>
      </c>
      <c r="C3" t="inlineStr">
        <is>
          <t>Collection alert (LARRS430); SHB failover; no data after.</t>
        </is>
      </c>
      <c r="D3" t="inlineStr">
        <is>
          <t>Day-to-Day</t>
        </is>
      </c>
      <c r="E3" t="inlineStr">
        <is>
          <t>Moderate</t>
        </is>
      </c>
      <c r="F3" t="inlineStr">
        <is>
          <t>Pending</t>
        </is>
      </c>
      <c r="G3" t="inlineStr">
        <is>
          <t>Compliance</t>
        </is>
      </c>
    </row>
    <row r="4">
      <c r="A4" t="inlineStr">
        <is>
          <t>2026-01-14</t>
        </is>
      </c>
      <c r="B4" t="inlineStr">
        <is>
          <t>Integrity — PAS Integrity</t>
        </is>
      </c>
      <c r="C4" t="inlineStr">
        <is>
          <t>FTP timing race on cfirsthop before Integrity read.</t>
        </is>
      </c>
      <c r="D4" t="inlineStr">
        <is>
          <t>Day-to-Day</t>
        </is>
      </c>
      <c r="E4" t="inlineStr">
        <is>
          <t>Moderate</t>
        </is>
      </c>
      <c r="F4" t="inlineStr">
        <is>
          <t>Pending</t>
        </is>
      </c>
      <c r="G4" t="inlineStr">
        <is>
          <t>Compliance</t>
        </is>
      </c>
    </row>
    <row r="5">
      <c r="A5" t="inlineStr">
        <is>
          <t>2026-01-14</t>
        </is>
      </c>
      <c r="B5" t="inlineStr">
        <is>
          <t>Alarm Flood</t>
        </is>
      </c>
      <c r="C5" t="inlineStr"/>
      <c r="D5" t="inlineStr">
        <is>
          <t>Diagnostic</t>
        </is>
      </c>
      <c r="E5" t="inlineStr">
        <is>
          <t>Moderate</t>
        </is>
      </c>
      <c r="F5" t="inlineStr"/>
      <c r="G5" t="inlineStr">
        <is>
          <t>Efficiency</t>
        </is>
      </c>
    </row>
    <row r="6">
      <c r="A6" t="inlineStr">
        <is>
          <t>2026-01-16</t>
        </is>
      </c>
      <c r="B6" t="inlineStr">
        <is>
          <t>DCS — Experion</t>
        </is>
      </c>
      <c r="C6" t="inlineStr">
        <is>
          <t>ISOM OPCI channel Marginal; ACE reload (ACT → CEE).</t>
        </is>
      </c>
      <c r="D6" t="inlineStr">
        <is>
          <t>Day-to-Day</t>
        </is>
      </c>
      <c r="E6" t="inlineStr">
        <is>
          <t>Moderate</t>
        </is>
      </c>
      <c r="F6" t="inlineStr">
        <is>
          <t>Fixed</t>
        </is>
      </c>
      <c r="G6" t="inlineStr">
        <is>
          <t>Efficiency</t>
        </is>
      </c>
    </row>
    <row r="7">
      <c r="A7" t="inlineStr">
        <is>
          <t>2026-01-20</t>
        </is>
      </c>
      <c r="B7" t="inlineStr">
        <is>
          <t>Alarm — ACM</t>
        </is>
      </c>
      <c r="C7" t="inlineStr">
        <is>
          <t>Restored missing tags 38L331N/38L330N; TagSync review.</t>
        </is>
      </c>
      <c r="D7" t="inlineStr">
        <is>
          <t>Day-to-Day</t>
        </is>
      </c>
      <c r="E7" t="inlineStr">
        <is>
          <t>Quick</t>
        </is>
      </c>
      <c r="F7" t="inlineStr">
        <is>
          <t>Fixed</t>
        </is>
      </c>
      <c r="G7" t="inlineStr">
        <is>
          <t>Compliance</t>
        </is>
      </c>
    </row>
    <row r="8">
      <c r="A8" t="inlineStr">
        <is>
          <t>2026-01-20</t>
        </is>
      </c>
      <c r="B8" t="inlineStr">
        <is>
          <t>DCS — Experion (EPKS)</t>
        </is>
      </c>
      <c r="C8" t="inlineStr">
        <is>
          <t>Controller hardware info remediation confirmed.</t>
        </is>
      </c>
      <c r="D8" t="inlineStr">
        <is>
          <t>Day-to-Day</t>
        </is>
      </c>
      <c r="E8" t="inlineStr">
        <is>
          <t>Quick</t>
        </is>
      </c>
      <c r="F8" t="inlineStr">
        <is>
          <t>Fixed</t>
        </is>
      </c>
      <c r="G8" t="inlineStr">
        <is>
          <t>Low</t>
        </is>
      </c>
    </row>
    <row r="9">
      <c r="A9" t="inlineStr">
        <is>
          <t>2026-01-20</t>
        </is>
      </c>
      <c r="B9" t="inlineStr">
        <is>
          <t>Alarm — DynAMo</t>
        </is>
      </c>
      <c r="C9" t="inlineStr">
        <is>
          <t>DL creation for UTIL DynAMo reports; verification offered.</t>
        </is>
      </c>
      <c r="D9" t="inlineStr">
        <is>
          <t>Day-to-Day</t>
        </is>
      </c>
      <c r="E9" t="inlineStr">
        <is>
          <t>Moderate</t>
        </is>
      </c>
      <c r="F9" t="inlineStr">
        <is>
          <t>Pending</t>
        </is>
      </c>
      <c r="G9" t="inlineStr">
        <is>
          <t>Compliance</t>
        </is>
      </c>
    </row>
    <row r="10">
      <c r="A10" t="inlineStr">
        <is>
          <t>2026-01-20</t>
        </is>
      </c>
      <c r="B10" t="inlineStr">
        <is>
          <t>Historian — SQL</t>
        </is>
      </c>
      <c r="C10" t="inlineStr">
        <is>
          <t>Deleted LAREventsrepl during cHISTSQL2 cleanup.</t>
        </is>
      </c>
      <c r="D10" t="inlineStr">
        <is>
          <t>Day-to-Day</t>
        </is>
      </c>
      <c r="E10" t="inlineStr">
        <is>
          <t>Quick</t>
        </is>
      </c>
      <c r="F10" t="inlineStr">
        <is>
          <t>Handed Off</t>
        </is>
      </c>
      <c r="G10" t="inlineStr">
        <is>
          <t>Compliance</t>
        </is>
      </c>
    </row>
    <row r="11">
      <c r="A11" t="inlineStr">
        <is>
          <t>2026-01-22</t>
        </is>
      </c>
      <c r="B11" t="inlineStr">
        <is>
          <t>PLC — ControlEdge / UOC</t>
        </is>
      </c>
      <c r="C11" t="inlineStr">
        <is>
          <t>Enabled commissioning; staged ControlEdge Builder installers.</t>
        </is>
      </c>
      <c r="D11" t="inlineStr">
        <is>
          <t>Project</t>
        </is>
      </c>
      <c r="E11" t="inlineStr">
        <is>
          <t>Quick</t>
        </is>
      </c>
      <c r="F11" t="inlineStr">
        <is>
          <t>Pending</t>
        </is>
      </c>
      <c r="G11" t="inlineStr">
        <is>
          <t>Low</t>
        </is>
      </c>
    </row>
    <row r="12">
      <c r="A12" t="inlineStr">
        <is>
          <t>2026-01-22</t>
        </is>
      </c>
      <c r="B12" t="inlineStr">
        <is>
          <t>HMI — Experion HS</t>
        </is>
      </c>
      <c r="C12" t="inlineStr">
        <is>
          <t>Panel PC install error; missing Panel Server license.</t>
        </is>
      </c>
      <c r="D12" t="inlineStr">
        <is>
          <t>Project</t>
        </is>
      </c>
      <c r="E12" t="inlineStr">
        <is>
          <t>Moderate</t>
        </is>
      </c>
      <c r="F12" t="inlineStr">
        <is>
          <t>Pending</t>
        </is>
      </c>
      <c r="G12" t="inlineStr">
        <is>
          <t>Low</t>
        </is>
      </c>
    </row>
    <row r="13">
      <c r="A13" t="inlineStr">
        <is>
          <t>2026-01-22</t>
        </is>
      </c>
      <c r="B13" t="inlineStr">
        <is>
          <t>Alarm — HAM</t>
        </is>
      </c>
      <c r="C13" t="inlineStr">
        <is>
          <t>HAM 2.2→2.3 upgrade license follow-up and escalation.</t>
        </is>
      </c>
      <c r="D13" t="inlineStr">
        <is>
          <t>Project</t>
        </is>
      </c>
      <c r="E13" t="inlineStr">
        <is>
          <t>Moderate</t>
        </is>
      </c>
      <c r="F13" t="inlineStr">
        <is>
          <t>Escalated</t>
        </is>
      </c>
      <c r="G13" t="inlineStr">
        <is>
          <t>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>
        <f>== DAY-TO-DAY ===</f>
        <v/>
      </c>
      <c r="B1" t="inlineStr"/>
      <c r="C1" t="inlineStr"/>
      <c r="D1" t="inlineStr"/>
      <c r="E1" t="inlineStr"/>
      <c r="F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Complexity</t>
        </is>
      </c>
      <c r="E2" t="inlineStr">
        <is>
          <t>Resolution</t>
        </is>
      </c>
      <c r="F2" t="inlineStr">
        <is>
          <t>Impact</t>
        </is>
      </c>
    </row>
    <row r="3">
      <c r="A3" t="inlineStr">
        <is>
          <t>2026-01-06</t>
        </is>
      </c>
      <c r="B3" t="inlineStr">
        <is>
          <t>DCS — Experion</t>
        </is>
      </c>
      <c r="C3" t="inlineStr">
        <is>
          <t>Auto-suppress 57DAS002 recommendation.</t>
        </is>
      </c>
      <c r="D3" t="inlineStr">
        <is>
          <t>Quick</t>
        </is>
      </c>
      <c r="E3" t="inlineStr">
        <is>
          <t>Handed Off</t>
        </is>
      </c>
      <c r="F3" t="inlineStr">
        <is>
          <t>Efficiency</t>
        </is>
      </c>
    </row>
    <row r="4">
      <c r="A4" t="inlineStr">
        <is>
          <t>2026-01-12</t>
        </is>
      </c>
      <c r="B4" t="inlineStr">
        <is>
          <t>Alarm — DynAMo</t>
        </is>
      </c>
      <c r="C4" t="inlineStr">
        <is>
          <t>Collection alert (LARRS430); SHB failover; no data after.</t>
        </is>
      </c>
      <c r="D4" t="inlineStr">
        <is>
          <t>Moderate</t>
        </is>
      </c>
      <c r="E4" t="inlineStr">
        <is>
          <t>Pending</t>
        </is>
      </c>
      <c r="F4" t="inlineStr">
        <is>
          <t>Compliance</t>
        </is>
      </c>
    </row>
    <row r="5">
      <c r="A5" t="inlineStr">
        <is>
          <t>2026-01-14</t>
        </is>
      </c>
      <c r="B5" t="inlineStr">
        <is>
          <t>Integrity — PAS Integrity</t>
        </is>
      </c>
      <c r="C5" t="inlineStr">
        <is>
          <t>FTP timing race on cfirsthop before Integrity read.</t>
        </is>
      </c>
      <c r="D5" t="inlineStr">
        <is>
          <t>Moderate</t>
        </is>
      </c>
      <c r="E5" t="inlineStr">
        <is>
          <t>Pending</t>
        </is>
      </c>
      <c r="F5" t="inlineStr">
        <is>
          <t>Compliance</t>
        </is>
      </c>
    </row>
    <row r="6">
      <c r="A6" t="inlineStr">
        <is>
          <t>2026-01-16</t>
        </is>
      </c>
      <c r="B6" t="inlineStr">
        <is>
          <t>DCS — Experion</t>
        </is>
      </c>
      <c r="C6" t="inlineStr">
        <is>
          <t>ISOM OPCI channel Marginal; ACE reload (ACT → CEE).</t>
        </is>
      </c>
      <c r="D6" t="inlineStr">
        <is>
          <t>Moderate</t>
        </is>
      </c>
      <c r="E6" t="inlineStr">
        <is>
          <t>Fixed</t>
        </is>
      </c>
      <c r="F6" t="inlineStr">
        <is>
          <t>Efficiency</t>
        </is>
      </c>
    </row>
    <row r="7">
      <c r="A7" t="inlineStr">
        <is>
          <t>2026-01-20</t>
        </is>
      </c>
      <c r="B7" t="inlineStr">
        <is>
          <t>Alarm — ACM</t>
        </is>
      </c>
      <c r="C7" t="inlineStr">
        <is>
          <t>Restored missing tags 38L331N/38L330N; TagSync review.</t>
        </is>
      </c>
      <c r="D7" t="inlineStr">
        <is>
          <t>Quick</t>
        </is>
      </c>
      <c r="E7" t="inlineStr">
        <is>
          <t>Fixed</t>
        </is>
      </c>
      <c r="F7" t="inlineStr">
        <is>
          <t>Compliance</t>
        </is>
      </c>
    </row>
    <row r="8">
      <c r="A8" t="inlineStr">
        <is>
          <t>2026-01-20</t>
        </is>
      </c>
      <c r="B8" t="inlineStr">
        <is>
          <t>DCS — Experion (EPKS)</t>
        </is>
      </c>
      <c r="C8" t="inlineStr">
        <is>
          <t>Controller hardware info remediation confirmed.</t>
        </is>
      </c>
      <c r="D8" t="inlineStr">
        <is>
          <t>Quick</t>
        </is>
      </c>
      <c r="E8" t="inlineStr">
        <is>
          <t>Fixed</t>
        </is>
      </c>
      <c r="F8" t="inlineStr">
        <is>
          <t>Low</t>
        </is>
      </c>
    </row>
    <row r="9">
      <c r="A9" t="inlineStr">
        <is>
          <t>2026-01-20</t>
        </is>
      </c>
      <c r="B9" t="inlineStr">
        <is>
          <t>Alarm — DynAMo</t>
        </is>
      </c>
      <c r="C9" t="inlineStr">
        <is>
          <t>DL creation for UTIL DynAMo reports; verification offered.</t>
        </is>
      </c>
      <c r="D9" t="inlineStr">
        <is>
          <t>Moderate</t>
        </is>
      </c>
      <c r="E9" t="inlineStr">
        <is>
          <t>Pending</t>
        </is>
      </c>
      <c r="F9" t="inlineStr">
        <is>
          <t>Compliance</t>
        </is>
      </c>
    </row>
    <row r="10">
      <c r="A10" t="inlineStr">
        <is>
          <t>2026-01-20</t>
        </is>
      </c>
      <c r="B10" t="inlineStr">
        <is>
          <t>Historian — SQL</t>
        </is>
      </c>
      <c r="C10" t="inlineStr">
        <is>
          <t>Deleted LAREventsrepl during cHISTSQL2 cleanup.</t>
        </is>
      </c>
      <c r="D10" t="inlineStr">
        <is>
          <t>Quick</t>
        </is>
      </c>
      <c r="E10" t="inlineStr">
        <is>
          <t>Handed Off</t>
        </is>
      </c>
      <c r="F10" t="inlineStr">
        <is>
          <t>Compliance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>
        <f>== DIAGNOSTIC ===</f>
        <v/>
      </c>
      <c r="B12" t="inlineStr"/>
      <c r="C12" t="inlineStr"/>
      <c r="D12" t="inlineStr"/>
      <c r="E12" t="inlineStr"/>
      <c r="F12" t="inlineStr"/>
    </row>
    <row r="13">
      <c r="A13" t="inlineStr">
        <is>
          <t>Date</t>
        </is>
      </c>
      <c r="B13" t="inlineStr">
        <is>
          <t>System</t>
        </is>
      </c>
      <c r="C13" t="inlineStr">
        <is>
          <t>Summary</t>
        </is>
      </c>
      <c r="D13" t="inlineStr">
        <is>
          <t>Complexity</t>
        </is>
      </c>
      <c r="E13" t="inlineStr">
        <is>
          <t>Resolution</t>
        </is>
      </c>
      <c r="F13" t="inlineStr">
        <is>
          <t>Impact</t>
        </is>
      </c>
    </row>
    <row r="14">
      <c r="A14" t="inlineStr">
        <is>
          <t>2026-01-14</t>
        </is>
      </c>
      <c r="B14" t="inlineStr">
        <is>
          <t>Alarm Flood</t>
        </is>
      </c>
      <c r="C14" t="inlineStr"/>
      <c r="D14" t="inlineStr">
        <is>
          <t>Moderate</t>
        </is>
      </c>
      <c r="E14" t="inlineStr"/>
      <c r="F14" t="inlineStr">
        <is>
          <t>Efficiency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>
        <f>== PROJECT ===</f>
        <v/>
      </c>
      <c r="B16" t="inlineStr"/>
      <c r="C16" t="inlineStr"/>
      <c r="D16" t="inlineStr"/>
      <c r="E16" t="inlineStr"/>
      <c r="F16" t="inlineStr"/>
    </row>
    <row r="17">
      <c r="A17" t="inlineStr">
        <is>
          <t>Date</t>
        </is>
      </c>
      <c r="B17" t="inlineStr">
        <is>
          <t>System</t>
        </is>
      </c>
      <c r="C17" t="inlineStr">
        <is>
          <t>Summary</t>
        </is>
      </c>
      <c r="D17" t="inlineStr">
        <is>
          <t>Complexity</t>
        </is>
      </c>
      <c r="E17" t="inlineStr">
        <is>
          <t>Resolution</t>
        </is>
      </c>
      <c r="F17" t="inlineStr">
        <is>
          <t>Impact</t>
        </is>
      </c>
    </row>
    <row r="18">
      <c r="A18" t="inlineStr">
        <is>
          <t>2026-01-22</t>
        </is>
      </c>
      <c r="B18" t="inlineStr">
        <is>
          <t>PLC — ControlEdge / UOC</t>
        </is>
      </c>
      <c r="C18" t="inlineStr">
        <is>
          <t>Enabled commissioning; staged ControlEdge Builder installers.</t>
        </is>
      </c>
      <c r="D18" t="inlineStr">
        <is>
          <t>Quick</t>
        </is>
      </c>
      <c r="E18" t="inlineStr">
        <is>
          <t>Pending</t>
        </is>
      </c>
      <c r="F18" t="inlineStr">
        <is>
          <t>Low</t>
        </is>
      </c>
    </row>
    <row r="19">
      <c r="A19" t="inlineStr">
        <is>
          <t>2026-01-22</t>
        </is>
      </c>
      <c r="B19" t="inlineStr">
        <is>
          <t>HMI — Experion HS</t>
        </is>
      </c>
      <c r="C19" t="inlineStr">
        <is>
          <t>Panel PC install error; missing Panel Server license.</t>
        </is>
      </c>
      <c r="D19" t="inlineStr">
        <is>
          <t>Moderate</t>
        </is>
      </c>
      <c r="E19" t="inlineStr">
        <is>
          <t>Pending</t>
        </is>
      </c>
      <c r="F19" t="inlineStr">
        <is>
          <t>Low</t>
        </is>
      </c>
    </row>
    <row r="20">
      <c r="A20" t="inlineStr">
        <is>
          <t>2026-01-22</t>
        </is>
      </c>
      <c r="B20" t="inlineStr">
        <is>
          <t>Alarm — HAM</t>
        </is>
      </c>
      <c r="C20" t="inlineStr">
        <is>
          <t>HAM 2.2→2.3 upgrade license follow-up and escalation.</t>
        </is>
      </c>
      <c r="D20" t="inlineStr">
        <is>
          <t>Moderate</t>
        </is>
      </c>
      <c r="E20" t="inlineStr">
        <is>
          <t>Escalated</t>
        </is>
      </c>
      <c r="F20" t="inlineStr">
        <is>
          <t>Compliance</t>
        </is>
      </c>
    </row>
    <row r="21">
      <c r="A21" t="inlineStr"/>
      <c r="B21" t="inlineStr"/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>
        <f>== ALARM ===</f>
        <v/>
      </c>
      <c r="B1" t="inlineStr"/>
      <c r="C1" t="inlineStr"/>
      <c r="D1" t="inlineStr"/>
      <c r="E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Stream</t>
        </is>
      </c>
      <c r="E2" t="inlineStr">
        <is>
          <t>Complexity</t>
        </is>
      </c>
    </row>
    <row r="3">
      <c r="A3" t="inlineStr">
        <is>
          <t>2026-01-12</t>
        </is>
      </c>
      <c r="B3" t="inlineStr">
        <is>
          <t>Alarm — DynAMo</t>
        </is>
      </c>
      <c r="C3" t="inlineStr">
        <is>
          <t>Collection alert (LARRS430); SHB failover; no data after.</t>
        </is>
      </c>
      <c r="D3" t="inlineStr">
        <is>
          <t>Day-to-Day</t>
        </is>
      </c>
      <c r="E3" t="inlineStr">
        <is>
          <t>Moderate</t>
        </is>
      </c>
    </row>
    <row r="4">
      <c r="A4" t="inlineStr">
        <is>
          <t>2026-01-14</t>
        </is>
      </c>
      <c r="B4" t="inlineStr">
        <is>
          <t>Alarm Flood</t>
        </is>
      </c>
      <c r="C4" t="inlineStr"/>
      <c r="D4" t="inlineStr">
        <is>
          <t>Diagnostic</t>
        </is>
      </c>
      <c r="E4" t="inlineStr">
        <is>
          <t>Moderate</t>
        </is>
      </c>
    </row>
    <row r="5">
      <c r="A5" t="inlineStr">
        <is>
          <t>2026-01-20</t>
        </is>
      </c>
      <c r="B5" t="inlineStr">
        <is>
          <t>Alarm — ACM</t>
        </is>
      </c>
      <c r="C5" t="inlineStr">
        <is>
          <t>Restored missing tags 38L331N/38L330N; TagSync review.</t>
        </is>
      </c>
      <c r="D5" t="inlineStr">
        <is>
          <t>Day-to-Day</t>
        </is>
      </c>
      <c r="E5" t="inlineStr">
        <is>
          <t>Quick</t>
        </is>
      </c>
    </row>
    <row r="6">
      <c r="A6" t="inlineStr">
        <is>
          <t>2026-01-20</t>
        </is>
      </c>
      <c r="B6" t="inlineStr">
        <is>
          <t>Alarm — DynAMo</t>
        </is>
      </c>
      <c r="C6" t="inlineStr">
        <is>
          <t>DL creation for UTIL DynAMo reports; verification offered.</t>
        </is>
      </c>
      <c r="D6" t="inlineStr">
        <is>
          <t>Day-to-Day</t>
        </is>
      </c>
      <c r="E6" t="inlineStr">
        <is>
          <t>Moderate</t>
        </is>
      </c>
    </row>
    <row r="7">
      <c r="A7" t="inlineStr">
        <is>
          <t>2026-01-22</t>
        </is>
      </c>
      <c r="B7" t="inlineStr">
        <is>
          <t>Alarm — HAM</t>
        </is>
      </c>
      <c r="C7" t="inlineStr">
        <is>
          <t>HAM 2.2→2.3 upgrade license follow-up and escalation.</t>
        </is>
      </c>
      <c r="D7" t="inlineStr">
        <is>
          <t>Project</t>
        </is>
      </c>
      <c r="E7" t="inlineStr">
        <is>
          <t>Moderate</t>
        </is>
      </c>
    </row>
    <row r="8">
      <c r="A8" t="inlineStr"/>
      <c r="B8" t="inlineStr"/>
      <c r="C8" t="inlineStr"/>
      <c r="D8" t="inlineStr"/>
      <c r="E8" t="inlineStr"/>
    </row>
    <row r="9">
      <c r="A9">
        <f>== DCS ===</f>
        <v/>
      </c>
      <c r="B9" t="inlineStr"/>
      <c r="C9" t="inlineStr"/>
      <c r="D9" t="inlineStr"/>
      <c r="E9" t="inlineStr"/>
    </row>
    <row r="10">
      <c r="A10" t="inlineStr">
        <is>
          <t>Date</t>
        </is>
      </c>
      <c r="B10" t="inlineStr">
        <is>
          <t>System</t>
        </is>
      </c>
      <c r="C10" t="inlineStr">
        <is>
          <t>Summary</t>
        </is>
      </c>
      <c r="D10" t="inlineStr">
        <is>
          <t>Stream</t>
        </is>
      </c>
      <c r="E10" t="inlineStr">
        <is>
          <t>Complexity</t>
        </is>
      </c>
    </row>
    <row r="11">
      <c r="A11" t="inlineStr">
        <is>
          <t>2026-01-06</t>
        </is>
      </c>
      <c r="B11" t="inlineStr">
        <is>
          <t>DCS — Experion</t>
        </is>
      </c>
      <c r="C11" t="inlineStr">
        <is>
          <t>Auto-suppress 57DAS002 recommendation.</t>
        </is>
      </c>
      <c r="D11" t="inlineStr">
        <is>
          <t>Day-to-Day</t>
        </is>
      </c>
      <c r="E11" t="inlineStr">
        <is>
          <t>Quick</t>
        </is>
      </c>
    </row>
    <row r="12">
      <c r="A12" t="inlineStr">
        <is>
          <t>2026-01-16</t>
        </is>
      </c>
      <c r="B12" t="inlineStr">
        <is>
          <t>DCS — Experion</t>
        </is>
      </c>
      <c r="C12" t="inlineStr">
        <is>
          <t>ISOM OPCI channel Marginal; ACE reload (ACT → CEE).</t>
        </is>
      </c>
      <c r="D12" t="inlineStr">
        <is>
          <t>Day-to-Day</t>
        </is>
      </c>
      <c r="E12" t="inlineStr">
        <is>
          <t>Moderate</t>
        </is>
      </c>
    </row>
    <row r="13">
      <c r="A13" t="inlineStr">
        <is>
          <t>2026-01-20</t>
        </is>
      </c>
      <c r="B13" t="inlineStr">
        <is>
          <t>DCS — Experion (EPKS)</t>
        </is>
      </c>
      <c r="C13" t="inlineStr">
        <is>
          <t>Controller hardware info remediation confirmed.</t>
        </is>
      </c>
      <c r="D13" t="inlineStr">
        <is>
          <t>Day-to-Day</t>
        </is>
      </c>
      <c r="E13" t="inlineStr">
        <is>
          <t>Quick</t>
        </is>
      </c>
    </row>
    <row r="14">
      <c r="A14" t="inlineStr">
        <is>
          <t>2026-01-22</t>
        </is>
      </c>
      <c r="B14" t="inlineStr">
        <is>
          <t>HMI — Experion HS</t>
        </is>
      </c>
      <c r="C14" t="inlineStr">
        <is>
          <t>Panel PC install error; missing Panel Server license.</t>
        </is>
      </c>
      <c r="D14" t="inlineStr">
        <is>
          <t>Project</t>
        </is>
      </c>
      <c r="E14" t="inlineStr">
        <is>
          <t>Moderate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OTHER ===</f>
        <v/>
      </c>
      <c r="B16" t="inlineStr"/>
      <c r="C16" t="inlineStr"/>
      <c r="D16" t="inlineStr"/>
      <c r="E16" t="inlineStr"/>
    </row>
    <row r="17">
      <c r="A17" t="inlineStr">
        <is>
          <t>Date</t>
        </is>
      </c>
      <c r="B17" t="inlineStr">
        <is>
          <t>System</t>
        </is>
      </c>
      <c r="C17" t="inlineStr">
        <is>
          <t>Summary</t>
        </is>
      </c>
      <c r="D17" t="inlineStr">
        <is>
          <t>Stream</t>
        </is>
      </c>
      <c r="E17" t="inlineStr">
        <is>
          <t>Complexity</t>
        </is>
      </c>
    </row>
    <row r="18">
      <c r="A18" t="inlineStr">
        <is>
          <t>2026-01-14</t>
        </is>
      </c>
      <c r="B18" t="inlineStr">
        <is>
          <t>Integrity — PAS Integrity</t>
        </is>
      </c>
      <c r="C18" t="inlineStr">
        <is>
          <t>FTP timing race on cfirsthop before Integrity read.</t>
        </is>
      </c>
      <c r="D18" t="inlineStr">
        <is>
          <t>Day-to-Day</t>
        </is>
      </c>
      <c r="E18" t="inlineStr">
        <is>
          <t>Moderate</t>
        </is>
      </c>
    </row>
    <row r="19">
      <c r="A19" t="inlineStr">
        <is>
          <t>2026-01-20</t>
        </is>
      </c>
      <c r="B19" t="inlineStr">
        <is>
          <t>Historian — SQL</t>
        </is>
      </c>
      <c r="C19" t="inlineStr">
        <is>
          <t>Deleted LAREventsrepl during cHISTSQL2 cleanup.</t>
        </is>
      </c>
      <c r="D19" t="inlineStr">
        <is>
          <t>Day-to-Day</t>
        </is>
      </c>
      <c r="E19" t="inlineStr">
        <is>
          <t>Quick</t>
        </is>
      </c>
    </row>
    <row r="20">
      <c r="A20" t="inlineStr"/>
      <c r="B20" t="inlineStr"/>
      <c r="C20" t="inlineStr"/>
      <c r="D20" t="inlineStr"/>
      <c r="E20" t="inlineStr"/>
    </row>
    <row r="21">
      <c r="A21">
        <f>== PLC ===</f>
        <v/>
      </c>
      <c r="B21" t="inlineStr"/>
      <c r="C21" t="inlineStr"/>
      <c r="D21" t="inlineStr"/>
      <c r="E21" t="inlineStr"/>
    </row>
    <row r="22">
      <c r="A22" t="inlineStr">
        <is>
          <t>Date</t>
        </is>
      </c>
      <c r="B22" t="inlineStr">
        <is>
          <t>System</t>
        </is>
      </c>
      <c r="C22" t="inlineStr">
        <is>
          <t>Summary</t>
        </is>
      </c>
      <c r="D22" t="inlineStr">
        <is>
          <t>Stream</t>
        </is>
      </c>
      <c r="E22" t="inlineStr">
        <is>
          <t>Complexity</t>
        </is>
      </c>
    </row>
    <row r="23">
      <c r="A23" t="inlineStr">
        <is>
          <t>2026-01-22</t>
        </is>
      </c>
      <c r="B23" t="inlineStr">
        <is>
          <t>PLC — ControlEdge / UOC</t>
        </is>
      </c>
      <c r="C23" t="inlineStr">
        <is>
          <t>Enabled commissioning; staged ControlEdge Builder installers.</t>
        </is>
      </c>
      <c r="D23" t="inlineStr">
        <is>
          <t>Project</t>
        </is>
      </c>
      <c r="E23" t="inlineStr">
        <is>
          <t>Quick</t>
        </is>
      </c>
    </row>
    <row r="24">
      <c r="A24" t="inlineStr"/>
      <c r="B24" t="inlineStr"/>
      <c r="C24" t="inlineStr"/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2026-01-25T01:34:07Z</dcterms:created>
  <dcterms:modified xmlns:dcterms="http://purl.org/dc/terms/" xmlns:xsi="http://www.w3.org/2001/XMLSchema-instance" xsi:type="dcterms:W3CDTF">2026-01-25T01:34:07Z</dcterms:modified>
</cp:coreProperties>
</file>