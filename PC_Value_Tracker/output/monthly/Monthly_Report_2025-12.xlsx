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Issues" sheetId="2" state="visible" r:id="rId2"/>
    <sheet xmlns:r="http://schemas.openxmlformats.org/officeDocument/2006/relationships" name="By Stream" sheetId="3" state="visible" r:id="rId3"/>
    <sheet xmlns:r="http://schemas.openxmlformats.org/officeDocument/2006/relationships" name="By Syste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</cols>
  <sheetData>
    <row r="1">
      <c r="A1" s="1" t="inlineStr">
        <is>
          <t>PC VALUE TRACKER — MONTHLY SUMMARY</t>
        </is>
      </c>
      <c r="B1" t="inlineStr"/>
    </row>
    <row r="2">
      <c r="A2" t="inlineStr">
        <is>
          <t>Month:</t>
        </is>
      </c>
      <c r="B2" t="inlineStr">
        <is>
          <t>December 2025</t>
        </is>
      </c>
    </row>
    <row r="3">
      <c r="A3" t="inlineStr">
        <is>
          <t>Generated:</t>
        </is>
      </c>
      <c r="B3" t="inlineStr">
        <is>
          <t>2026-01-24 17:34</t>
        </is>
      </c>
    </row>
    <row r="4">
      <c r="A4" t="inlineStr"/>
      <c r="B4" t="inlineStr"/>
    </row>
    <row r="5">
      <c r="A5" s="1" t="inlineStr">
        <is>
          <t>TOTAL ISSUES</t>
        </is>
      </c>
      <c r="B5" t="n">
        <v>19</v>
      </c>
    </row>
    <row r="6">
      <c r="A6" t="inlineStr"/>
      <c r="B6" t="inlineStr"/>
    </row>
    <row r="7">
      <c r="A7" t="inlineStr">
        <is>
          <t>BY STREAM</t>
        </is>
      </c>
      <c r="B7" t="inlineStr">
        <is>
          <t>Count</t>
        </is>
      </c>
    </row>
    <row r="8">
      <c r="A8" s="1" t="inlineStr">
        <is>
          <t>Day-to-Day</t>
        </is>
      </c>
      <c r="B8" t="n">
        <v>6</v>
      </c>
    </row>
    <row r="9">
      <c r="A9" t="inlineStr">
        <is>
          <t>Alarm Rationalization</t>
        </is>
      </c>
      <c r="B9" t="n">
        <v>4</v>
      </c>
    </row>
    <row r="10">
      <c r="A10" t="inlineStr">
        <is>
          <t>Unit Support</t>
        </is>
      </c>
      <c r="B10" t="n">
        <v>2</v>
      </c>
    </row>
    <row r="11">
      <c r="A11" t="inlineStr">
        <is>
          <t>Legacy Modernization</t>
        </is>
      </c>
      <c r="B11" t="n">
        <v>1</v>
      </c>
    </row>
    <row r="12">
      <c r="A12" t="inlineStr">
        <is>
          <t>Diagnostic</t>
        </is>
      </c>
      <c r="B12" t="n">
        <v>1</v>
      </c>
    </row>
    <row r="13">
      <c r="A13" t="inlineStr">
        <is>
          <t>Alarm Rationalization, Unit Support</t>
        </is>
      </c>
      <c r="B13" t="n">
        <v>1</v>
      </c>
    </row>
    <row r="14">
      <c r="A14" t="inlineStr">
        <is>
          <t>L1 Integrity, Alarm Rationalization, Unit Support</t>
        </is>
      </c>
      <c r="B14" t="n">
        <v>1</v>
      </c>
    </row>
    <row r="15">
      <c r="A15" t="inlineStr">
        <is>
          <t>L1 Integrity, Alarm Rationalization, Legacy Modernization</t>
        </is>
      </c>
      <c r="B15" t="n">
        <v>1</v>
      </c>
    </row>
    <row r="16">
      <c r="A16" t="inlineStr">
        <is>
          <t>L1 Integrity</t>
        </is>
      </c>
      <c r="B16" t="n">
        <v>1</v>
      </c>
    </row>
    <row r="17">
      <c r="A17" t="inlineStr">
        <is>
          <t>L1 Integrity, Alarm Rationalization</t>
        </is>
      </c>
      <c r="B17" t="n">
        <v>1</v>
      </c>
    </row>
    <row r="18">
      <c r="A18" t="inlineStr"/>
      <c r="B18" t="inlineStr"/>
    </row>
    <row r="19">
      <c r="A19" t="inlineStr">
        <is>
          <t>BY SYSTEM</t>
        </is>
      </c>
      <c r="B19" t="inlineStr">
        <is>
          <t>Count</t>
        </is>
      </c>
    </row>
    <row r="20">
      <c r="A20" t="inlineStr">
        <is>
          <t>Alarm</t>
        </is>
      </c>
      <c r="B20" t="n">
        <v>7</v>
      </c>
    </row>
    <row r="21">
      <c r="A21" s="1" t="inlineStr">
        <is>
          <t>DCS</t>
        </is>
      </c>
      <c r="B21" t="n">
        <v>6</v>
      </c>
    </row>
    <row r="22">
      <c r="A22" t="inlineStr">
        <is>
          <t>Other</t>
        </is>
      </c>
      <c r="B22" t="n">
        <v>3</v>
      </c>
    </row>
    <row r="23">
      <c r="A23" t="inlineStr">
        <is>
          <t>SIS</t>
        </is>
      </c>
      <c r="B23" t="n">
        <v>2</v>
      </c>
    </row>
    <row r="24">
      <c r="A24" t="inlineStr">
        <is>
          <t>PLC</t>
        </is>
      </c>
      <c r="B24" t="n">
        <v>1</v>
      </c>
    </row>
    <row r="25">
      <c r="A25" t="inlineStr"/>
      <c r="B25" t="inlineStr"/>
    </row>
    <row r="26">
      <c r="A26" t="inlineStr">
        <is>
          <t>BY COMPLEXITY</t>
        </is>
      </c>
      <c r="B26" t="inlineStr">
        <is>
          <t>Count</t>
        </is>
      </c>
    </row>
    <row r="27">
      <c r="A27" t="inlineStr">
        <is>
          <t>Low</t>
        </is>
      </c>
      <c r="B27" t="n">
        <v>12</v>
      </c>
    </row>
    <row r="28">
      <c r="A28" t="inlineStr">
        <is>
          <t>Medium</t>
        </is>
      </c>
      <c r="B28" t="n">
        <v>2</v>
      </c>
    </row>
    <row r="29">
      <c r="A29" t="inlineStr">
        <is>
          <t>High</t>
        </is>
      </c>
      <c r="B29" t="n">
        <v>2</v>
      </c>
    </row>
    <row r="30">
      <c r="A30" t="inlineStr">
        <is>
          <t>Moderate</t>
        </is>
      </c>
      <c r="B30" t="n">
        <v>1</v>
      </c>
    </row>
    <row r="31">
      <c r="A31" t="inlineStr">
        <is>
          <t>Quick</t>
        </is>
      </c>
      <c r="B31" t="n">
        <v>1</v>
      </c>
    </row>
    <row r="32">
      <c r="A32" t="inlineStr">
        <is>
          <t>Major</t>
        </is>
      </c>
      <c r="B32" t="n">
        <v>1</v>
      </c>
    </row>
    <row r="33">
      <c r="A33" t="inlineStr"/>
      <c r="B33" t="inlineStr"/>
    </row>
    <row r="34">
      <c r="A34" t="inlineStr">
        <is>
          <t>BY BUSINESS IMPACT</t>
        </is>
      </c>
      <c r="B34" t="inlineStr">
        <is>
          <t>Count</t>
        </is>
      </c>
    </row>
    <row r="35">
      <c r="A35" t="inlineStr">
        <is>
          <t>Safety</t>
        </is>
      </c>
      <c r="B35" t="n">
        <v>12</v>
      </c>
    </row>
    <row r="36">
      <c r="A36" t="inlineStr">
        <is>
          <t>Low</t>
        </is>
      </c>
      <c r="B36" t="n">
        <v>3</v>
      </c>
    </row>
    <row r="37">
      <c r="A37" t="inlineStr">
        <is>
          <t>Efficiency</t>
        </is>
      </c>
      <c r="B37" t="n">
        <v>2</v>
      </c>
    </row>
    <row r="38">
      <c r="A38" t="inlineStr">
        <is>
          <t>Production</t>
        </is>
      </c>
      <c r="B38" t="n">
        <v>2</v>
      </c>
    </row>
    <row r="39">
      <c r="A39" t="inlineStr"/>
      <c r="B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System</t>
        </is>
      </c>
      <c r="C1" t="inlineStr">
        <is>
          <t>Summary</t>
        </is>
      </c>
      <c r="D1" t="inlineStr">
        <is>
          <t>Stream</t>
        </is>
      </c>
      <c r="E1" t="inlineStr">
        <is>
          <t>Complexity</t>
        </is>
      </c>
      <c r="F1" t="inlineStr">
        <is>
          <t>Resolution</t>
        </is>
      </c>
      <c r="G1" t="inlineStr">
        <is>
          <t>Business Impact</t>
        </is>
      </c>
    </row>
    <row r="2">
      <c r="A2" t="inlineStr">
        <is>
          <t>2025-12-02</t>
        </is>
      </c>
      <c r="B2" t="inlineStr">
        <is>
          <t>UPS/COM Alarm</t>
        </is>
      </c>
      <c r="C2" t="inlineStr"/>
      <c r="D2" t="inlineStr">
        <is>
          <t>Day-to-Day</t>
        </is>
      </c>
      <c r="E2" t="inlineStr">
        <is>
          <t>Moderate</t>
        </is>
      </c>
      <c r="F2" t="inlineStr"/>
      <c r="G2" t="inlineStr">
        <is>
          <t>Safety</t>
        </is>
      </c>
    </row>
    <row r="3">
      <c r="A3" t="inlineStr">
        <is>
          <t>2025-12-04</t>
        </is>
      </c>
      <c r="B3" t="inlineStr">
        <is>
          <t>APO/HAM</t>
        </is>
      </c>
      <c r="C3" t="inlineStr"/>
      <c r="D3" t="inlineStr">
        <is>
          <t>Day-to-Day</t>
        </is>
      </c>
      <c r="E3" t="inlineStr">
        <is>
          <t>Quick</t>
        </is>
      </c>
      <c r="F3" t="inlineStr"/>
      <c r="G3" t="inlineStr">
        <is>
          <t>Efficiency</t>
        </is>
      </c>
    </row>
    <row r="4">
      <c r="A4" t="inlineStr">
        <is>
          <t>2025-12-08</t>
        </is>
      </c>
      <c r="B4" t="inlineStr">
        <is>
          <t>Experion/TPS</t>
        </is>
      </c>
      <c r="C4" t="inlineStr">
        <is>
          <t>FW: Re: DSPPrime on TDC consoles: Shared dspprime/pntbld procedure to purge stale TDC points after cutover.</t>
        </is>
      </c>
      <c r="D4" t="inlineStr">
        <is>
          <t>Legacy Modernization</t>
        </is>
      </c>
      <c r="E4" t="inlineStr">
        <is>
          <t>Low</t>
        </is>
      </c>
      <c r="F4" t="inlineStr"/>
      <c r="G4" t="inlineStr">
        <is>
          <t>Low</t>
        </is>
      </c>
    </row>
    <row r="5">
      <c r="A5" t="inlineStr">
        <is>
          <t>2025-12-11</t>
        </is>
      </c>
      <c r="B5" t="inlineStr">
        <is>
          <t>PLC (Rockwell)</t>
        </is>
      </c>
      <c r="C5" t="inlineStr">
        <is>
          <t>FW: FCC System Alarm 11SPLC30AO: Analyzed polling performance vs. register gaps; requested change chronology around 12/3.</t>
        </is>
      </c>
      <c r="D5" t="inlineStr">
        <is>
          <t>Unit Support</t>
        </is>
      </c>
      <c r="E5" t="inlineStr">
        <is>
          <t>Low</t>
        </is>
      </c>
      <c r="F5" t="inlineStr"/>
      <c r="G5" t="inlineStr">
        <is>
          <t>Safety</t>
        </is>
      </c>
    </row>
    <row r="6">
      <c r="A6" t="inlineStr">
        <is>
          <t>2025-12-11</t>
        </is>
      </c>
      <c r="B6" t="inlineStr">
        <is>
          <t>Alarm Mgmt</t>
        </is>
      </c>
      <c r="C6" t="inlineStr">
        <is>
          <t>RE: APO 3.0 Installation: Raised L3/L4 edit constraints and CAR/PAR impacts; proposed template app/db servers and node rename procedure.</t>
        </is>
      </c>
      <c r="D6" t="inlineStr">
        <is>
          <t>Alarm Rationalization</t>
        </is>
      </c>
      <c r="E6" t="inlineStr">
        <is>
          <t>Low</t>
        </is>
      </c>
      <c r="F6" t="inlineStr"/>
      <c r="G6" t="inlineStr">
        <is>
          <t>Safety</t>
        </is>
      </c>
    </row>
    <row r="7">
      <c r="A7" t="inlineStr">
        <is>
          <t>2025-12-11</t>
        </is>
      </c>
      <c r="B7" t="inlineStr">
        <is>
          <t>Alarm Mgmt</t>
        </is>
      </c>
      <c r="C7" t="inlineStr">
        <is>
          <t>RE: Console / Dynamo: Explained suppression exposure vs. NTE reporting; reviewed specific NTE/level instruments.</t>
        </is>
      </c>
      <c r="D7" t="inlineStr">
        <is>
          <t>Alarm Rationalization</t>
        </is>
      </c>
      <c r="E7" t="inlineStr">
        <is>
          <t>Low</t>
        </is>
      </c>
      <c r="F7" t="inlineStr"/>
      <c r="G7" t="inlineStr">
        <is>
          <t>Safety</t>
        </is>
      </c>
    </row>
    <row r="8">
      <c r="A8" t="inlineStr">
        <is>
          <t>2025-12-11</t>
        </is>
      </c>
      <c r="B8" t="inlineStr">
        <is>
          <t>Alarm Mgmt</t>
        </is>
      </c>
      <c r="C8" t="inlineStr">
        <is>
          <t>RE: ETD_UTIL: Provided Tag Sync add/delete lists and reasoning for In-Progress versions created by scheduled jobs.</t>
        </is>
      </c>
      <c r="D8" t="inlineStr">
        <is>
          <t>Day-to-Day</t>
        </is>
      </c>
      <c r="E8" t="inlineStr">
        <is>
          <t>Low</t>
        </is>
      </c>
      <c r="F8" t="inlineStr"/>
      <c r="G8" t="inlineStr">
        <is>
          <t>Production</t>
        </is>
      </c>
    </row>
    <row r="9">
      <c r="A9" t="inlineStr">
        <is>
          <t>2025-12-11</t>
        </is>
      </c>
      <c r="B9" t="inlineStr">
        <is>
          <t>Experion/TPS</t>
        </is>
      </c>
      <c r="C9" t="inlineStr">
        <is>
          <t>RE: Significant issue with alarm discrepancies occurring between the servers and the consoles: Questioned BRM station role; supported EST rebuild plan and MOC path.</t>
        </is>
      </c>
      <c r="D9" t="inlineStr">
        <is>
          <t>Day-to-Day</t>
        </is>
      </c>
      <c r="E9" t="inlineStr">
        <is>
          <t>Medium</t>
        </is>
      </c>
      <c r="F9" t="inlineStr"/>
      <c r="G9" t="inlineStr">
        <is>
          <t>Safety</t>
        </is>
      </c>
    </row>
    <row r="10">
      <c r="A10" t="inlineStr">
        <is>
          <t>2025-12-14</t>
        </is>
      </c>
      <c r="B10" t="inlineStr">
        <is>
          <t>ACM/SCADA</t>
        </is>
      </c>
      <c r="C10" t="inlineStr"/>
      <c r="D10" t="inlineStr">
        <is>
          <t>Diagnostic</t>
        </is>
      </c>
      <c r="E10" t="inlineStr">
        <is>
          <t>Major</t>
        </is>
      </c>
      <c r="F10" t="inlineStr"/>
      <c r="G10" t="inlineStr">
        <is>
          <t>Safety</t>
        </is>
      </c>
    </row>
    <row r="11">
      <c r="A11" t="inlineStr">
        <is>
          <t>2025-12-16</t>
        </is>
      </c>
      <c r="B11" t="inlineStr">
        <is>
          <t>Alarm Mgmt</t>
        </is>
      </c>
      <c r="C11" t="inlineStr">
        <is>
          <t>SPW Dynamo Activities: Investigated bulk UnSuppress actions and audit behavior across TPS/Experion.</t>
        </is>
      </c>
      <c r="D11" t="inlineStr">
        <is>
          <t>Alarm Rationalization, Unit Support</t>
        </is>
      </c>
      <c r="E11" t="inlineStr">
        <is>
          <t>Low</t>
        </is>
      </c>
      <c r="F11" t="inlineStr"/>
      <c r="G11" t="inlineStr">
        <is>
          <t>Safety</t>
        </is>
      </c>
    </row>
    <row r="12">
      <c r="A12" t="inlineStr">
        <is>
          <t>2025-12-17</t>
        </is>
      </c>
      <c r="B12" t="inlineStr">
        <is>
          <t>Experion/TPS</t>
        </is>
      </c>
      <c r="C12" t="inlineStr">
        <is>
          <t>RE: LCN3 (ALKY) DCS Backup and Integrity Update: Coordinated D3K EC schedules and executed backups for Carson LCNs; requested enabling ECs on ENG stations.</t>
        </is>
      </c>
      <c r="D12" t="inlineStr">
        <is>
          <t>L1 Integrity, Alarm Rationalization, Unit Support</t>
        </is>
      </c>
      <c r="E12" t="inlineStr">
        <is>
          <t>Low</t>
        </is>
      </c>
      <c r="F12" t="inlineStr"/>
      <c r="G12" t="inlineStr">
        <is>
          <t>Efficiency</t>
        </is>
      </c>
    </row>
    <row r="13">
      <c r="A13" t="inlineStr">
        <is>
          <t>2025-12-19</t>
        </is>
      </c>
      <c r="B13" t="inlineStr">
        <is>
          <t>Experion/TPS</t>
        </is>
      </c>
      <c r="C13" t="inlineStr">
        <is>
          <t>RE: LCN4 17XA861 and 84UA822 chattering alarms: Clarified INHIBIT vs DISABLE parity for suppression reporting; tied to journaling load relief.</t>
        </is>
      </c>
      <c r="D13" t="inlineStr">
        <is>
          <t>Unit Support</t>
        </is>
      </c>
      <c r="E13" t="inlineStr">
        <is>
          <t>Medium</t>
        </is>
      </c>
      <c r="F13" t="inlineStr"/>
      <c r="G13" t="inlineStr">
        <is>
          <t>Safety</t>
        </is>
      </c>
    </row>
    <row r="14">
      <c r="A14" t="inlineStr">
        <is>
          <t>2025-12-29</t>
        </is>
      </c>
      <c r="B14" t="inlineStr">
        <is>
          <t>SIS/Triconex</t>
        </is>
      </c>
      <c r="C14" t="inlineStr">
        <is>
          <t>RE: Integrity TS1131 cannot view XPS: Pursued PDF-based workaround and asked for model changes (Aha!) to move away from XPS.</t>
        </is>
      </c>
      <c r="D14" t="inlineStr">
        <is>
          <t>L1 Integrity, Alarm Rationalization, Legacy Modernization</t>
        </is>
      </c>
      <c r="E14" t="inlineStr">
        <is>
          <t>High</t>
        </is>
      </c>
      <c r="F14" t="inlineStr"/>
      <c r="G14" t="inlineStr">
        <is>
          <t>Safety</t>
        </is>
      </c>
    </row>
    <row r="15">
      <c r="A15" t="inlineStr">
        <is>
          <t>2025-12-29</t>
        </is>
      </c>
      <c r="B15" t="inlineStr">
        <is>
          <t>Alarm Mgmt</t>
        </is>
      </c>
      <c r="C15" t="inlineStr">
        <is>
          <t>RE: ACM Secondary Parameter Update: Ran secondary parameter update to push QB description/alarm edits; reported per-tag outcomes.</t>
        </is>
      </c>
      <c r="D15" t="inlineStr">
        <is>
          <t>Alarm Rationalization</t>
        </is>
      </c>
      <c r="E15" t="inlineStr">
        <is>
          <t>Low</t>
        </is>
      </c>
      <c r="F15" t="inlineStr"/>
      <c r="G15" t="inlineStr">
        <is>
          <t>Safety</t>
        </is>
      </c>
    </row>
    <row r="16">
      <c r="A16" t="inlineStr">
        <is>
          <t>2025-12-29</t>
        </is>
      </c>
      <c r="B16" t="inlineStr">
        <is>
          <t>Alarm Mgmt</t>
        </is>
      </c>
      <c r="C16" t="inlineStr">
        <is>
          <t>RE: ALERT: ACM DB Replication Heartbeat not implemented or cannot be detected: Confirmed the replication/heartbeat condition self-recovered the following day.</t>
        </is>
      </c>
      <c r="D16" t="inlineStr">
        <is>
          <t>Alarm Rationalization</t>
        </is>
      </c>
      <c r="E16" t="inlineStr">
        <is>
          <t>High</t>
        </is>
      </c>
      <c r="F16" t="inlineStr"/>
      <c r="G16" t="inlineStr">
        <is>
          <t>Safety</t>
        </is>
      </c>
    </row>
    <row r="17">
      <c r="A17" t="inlineStr">
        <is>
          <t>2025-12-29</t>
        </is>
      </c>
      <c r="B17" t="inlineStr">
        <is>
          <t>Integrity (ALI)</t>
        </is>
      </c>
      <c r="C17" t="inlineStr">
        <is>
          <t>RE: Zip files transferred correctly as well: Verified transfer job execution from doublehop to INT01; set expectation on 8+ hour population.</t>
        </is>
      </c>
      <c r="D17" t="inlineStr">
        <is>
          <t>Day-to-Day</t>
        </is>
      </c>
      <c r="E17" t="inlineStr">
        <is>
          <t>Low</t>
        </is>
      </c>
      <c r="F17" t="inlineStr"/>
      <c r="G17" t="inlineStr">
        <is>
          <t>Low</t>
        </is>
      </c>
    </row>
    <row r="18">
      <c r="A18" t="inlineStr">
        <is>
          <t>2025-12-29</t>
        </is>
      </c>
      <c r="B18" t="inlineStr">
        <is>
          <t>Experion/TPS</t>
        </is>
      </c>
      <c r="C18" t="inlineStr">
        <is>
          <t>RE: UDC Agents: Tracked redeploys across ESV/EVT fleet; highlighted remaining problematic nodes for follow-up.</t>
        </is>
      </c>
      <c r="D18" t="inlineStr">
        <is>
          <t>L1 Integrity</t>
        </is>
      </c>
      <c r="E18" t="inlineStr">
        <is>
          <t>Low</t>
        </is>
      </c>
      <c r="F18" t="inlineStr"/>
      <c r="G18" t="inlineStr">
        <is>
          <t>Low</t>
        </is>
      </c>
    </row>
    <row r="19">
      <c r="A19" t="inlineStr">
        <is>
          <t>2025-12-31</t>
        </is>
      </c>
      <c r="B19" t="inlineStr">
        <is>
          <t>Experion/TPS</t>
        </is>
      </c>
      <c r="C19" t="inlineStr">
        <is>
          <t>RE: DAS 91DAS005: Chased missing SUPP events on DAS triggers; captured re-init actions; warned about server-wide alarm toggling.</t>
        </is>
      </c>
      <c r="D19" t="inlineStr">
        <is>
          <t>Day-to-Day</t>
        </is>
      </c>
      <c r="E19" t="inlineStr">
        <is>
          <t>Low</t>
        </is>
      </c>
      <c r="F19" t="inlineStr"/>
      <c r="G19" t="inlineStr">
        <is>
          <t>Safety</t>
        </is>
      </c>
    </row>
    <row r="20">
      <c r="A20" t="inlineStr">
        <is>
          <t>2025-12-31</t>
        </is>
      </c>
      <c r="B20" t="inlineStr">
        <is>
          <t>SIS/Triconex</t>
        </is>
      </c>
      <c r="C20" t="inlineStr">
        <is>
          <t>RE: Trident DI Issues - LOV: Pointed to CyberIntegrity inventory capability; noted current limitations in TRX component breakdown.</t>
        </is>
      </c>
      <c r="D20" t="inlineStr">
        <is>
          <t>L1 Integrity, Alarm Rationalization</t>
        </is>
      </c>
      <c r="E20" t="inlineStr">
        <is>
          <t>Low</t>
        </is>
      </c>
      <c r="F20" t="inlineStr"/>
      <c r="G20" t="inlineStr">
        <is>
          <t>Production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sheetData>
    <row r="1">
      <c r="A1">
        <f>== ALARM RATIONALIZATION ===</f>
        <v/>
      </c>
      <c r="B1" t="inlineStr"/>
      <c r="C1" t="inlineStr"/>
      <c r="D1" t="inlineStr"/>
      <c r="E1" t="inlineStr"/>
      <c r="F1" t="inlineStr"/>
    </row>
    <row r="2">
      <c r="A2" t="inlineStr">
        <is>
          <t>Date</t>
        </is>
      </c>
      <c r="B2" t="inlineStr">
        <is>
          <t>System</t>
        </is>
      </c>
      <c r="C2" t="inlineStr">
        <is>
          <t>Summary</t>
        </is>
      </c>
      <c r="D2" t="inlineStr">
        <is>
          <t>Complexity</t>
        </is>
      </c>
      <c r="E2" t="inlineStr">
        <is>
          <t>Resolution</t>
        </is>
      </c>
      <c r="F2" t="inlineStr">
        <is>
          <t>Impact</t>
        </is>
      </c>
    </row>
    <row r="3">
      <c r="A3" t="inlineStr">
        <is>
          <t>2025-12-11</t>
        </is>
      </c>
      <c r="B3" t="inlineStr">
        <is>
          <t>Alarm Mgmt</t>
        </is>
      </c>
      <c r="C3" t="inlineStr">
        <is>
          <t>RE: APO 3.0 Installation: Raised L3/L4 edit constraints and CAR/PAR impacts; proposed template app/d</t>
        </is>
      </c>
      <c r="D3" t="inlineStr">
        <is>
          <t>Low</t>
        </is>
      </c>
      <c r="E3" t="inlineStr"/>
      <c r="F3" t="inlineStr">
        <is>
          <t>Safety</t>
        </is>
      </c>
    </row>
    <row r="4">
      <c r="A4" t="inlineStr">
        <is>
          <t>2025-12-11</t>
        </is>
      </c>
      <c r="B4" t="inlineStr">
        <is>
          <t>Alarm Mgmt</t>
        </is>
      </c>
      <c r="C4" t="inlineStr">
        <is>
          <t xml:space="preserve">RE: Console / Dynamo: Explained suppression exposure vs. NTE reporting; reviewed specific NTE/level </t>
        </is>
      </c>
      <c r="D4" t="inlineStr">
        <is>
          <t>Low</t>
        </is>
      </c>
      <c r="E4" t="inlineStr"/>
      <c r="F4" t="inlineStr">
        <is>
          <t>Safety</t>
        </is>
      </c>
    </row>
    <row r="5">
      <c r="A5" t="inlineStr">
        <is>
          <t>2025-12-29</t>
        </is>
      </c>
      <c r="B5" t="inlineStr">
        <is>
          <t>Alarm Mgmt</t>
        </is>
      </c>
      <c r="C5" t="inlineStr">
        <is>
          <t>RE: ACM Secondary Parameter Update: Ran secondary parameter update to push QB description/alarm edit</t>
        </is>
      </c>
      <c r="D5" t="inlineStr">
        <is>
          <t>Low</t>
        </is>
      </c>
      <c r="E5" t="inlineStr"/>
      <c r="F5" t="inlineStr">
        <is>
          <t>Safety</t>
        </is>
      </c>
    </row>
    <row r="6">
      <c r="A6" t="inlineStr">
        <is>
          <t>2025-12-29</t>
        </is>
      </c>
      <c r="B6" t="inlineStr">
        <is>
          <t>Alarm Mgmt</t>
        </is>
      </c>
      <c r="C6" t="inlineStr">
        <is>
          <t>RE: ALERT: ACM DB Replication Heartbeat not implemented or cannot be detected: Confirmed the replica</t>
        </is>
      </c>
      <c r="D6" t="inlineStr">
        <is>
          <t>High</t>
        </is>
      </c>
      <c r="E6" t="inlineStr"/>
      <c r="F6" t="inlineStr">
        <is>
          <t>Safety</t>
        </is>
      </c>
    </row>
    <row r="7">
      <c r="A7" t="inlineStr"/>
      <c r="B7" t="inlineStr"/>
      <c r="C7" t="inlineStr"/>
      <c r="D7" t="inlineStr"/>
      <c r="E7" t="inlineStr"/>
      <c r="F7" t="inlineStr"/>
    </row>
    <row r="8">
      <c r="A8">
        <f>== ALARM RATIONALIZATION, UNIT SUPPORT ===</f>
        <v/>
      </c>
      <c r="B8" t="inlineStr"/>
      <c r="C8" t="inlineStr"/>
      <c r="D8" t="inlineStr"/>
      <c r="E8" t="inlineStr"/>
      <c r="F8" t="inlineStr"/>
    </row>
    <row r="9">
      <c r="A9" t="inlineStr">
        <is>
          <t>Date</t>
        </is>
      </c>
      <c r="B9" t="inlineStr">
        <is>
          <t>System</t>
        </is>
      </c>
      <c r="C9" t="inlineStr">
        <is>
          <t>Summary</t>
        </is>
      </c>
      <c r="D9" t="inlineStr">
        <is>
          <t>Complexity</t>
        </is>
      </c>
      <c r="E9" t="inlineStr">
        <is>
          <t>Resolution</t>
        </is>
      </c>
      <c r="F9" t="inlineStr">
        <is>
          <t>Impact</t>
        </is>
      </c>
    </row>
    <row r="10">
      <c r="A10" t="inlineStr">
        <is>
          <t>2025-12-16</t>
        </is>
      </c>
      <c r="B10" t="inlineStr">
        <is>
          <t>Alarm Mgmt</t>
        </is>
      </c>
      <c r="C10" t="inlineStr">
        <is>
          <t>SPW Dynamo Activities: Investigated bulk UnSuppress actions and audit behavior across TPS/Experion.</t>
        </is>
      </c>
      <c r="D10" t="inlineStr">
        <is>
          <t>Low</t>
        </is>
      </c>
      <c r="E10" t="inlineStr"/>
      <c r="F10" t="inlineStr">
        <is>
          <t>Safety</t>
        </is>
      </c>
    </row>
    <row r="11">
      <c r="A11" t="inlineStr"/>
      <c r="B11" t="inlineStr"/>
      <c r="C11" t="inlineStr"/>
      <c r="D11" t="inlineStr"/>
      <c r="E11" t="inlineStr"/>
      <c r="F11" t="inlineStr"/>
    </row>
    <row r="12">
      <c r="A12">
        <f>== DAY-TO-DAY ===</f>
        <v/>
      </c>
      <c r="B12" t="inlineStr"/>
      <c r="C12" t="inlineStr"/>
      <c r="D12" t="inlineStr"/>
      <c r="E12" t="inlineStr"/>
      <c r="F12" t="inlineStr"/>
    </row>
    <row r="13">
      <c r="A13" t="inlineStr">
        <is>
          <t>Date</t>
        </is>
      </c>
      <c r="B13" t="inlineStr">
        <is>
          <t>System</t>
        </is>
      </c>
      <c r="C13" t="inlineStr">
        <is>
          <t>Summary</t>
        </is>
      </c>
      <c r="D13" t="inlineStr">
        <is>
          <t>Complexity</t>
        </is>
      </c>
      <c r="E13" t="inlineStr">
        <is>
          <t>Resolution</t>
        </is>
      </c>
      <c r="F13" t="inlineStr">
        <is>
          <t>Impact</t>
        </is>
      </c>
    </row>
    <row r="14">
      <c r="A14" t="inlineStr">
        <is>
          <t>2025-12-02</t>
        </is>
      </c>
      <c r="B14" t="inlineStr">
        <is>
          <t>UPS/COM Alarm</t>
        </is>
      </c>
      <c r="C14" t="inlineStr"/>
      <c r="D14" t="inlineStr">
        <is>
          <t>Moderate</t>
        </is>
      </c>
      <c r="E14" t="inlineStr"/>
      <c r="F14" t="inlineStr">
        <is>
          <t>Safety</t>
        </is>
      </c>
    </row>
    <row r="15">
      <c r="A15" t="inlineStr">
        <is>
          <t>2025-12-04</t>
        </is>
      </c>
      <c r="B15" t="inlineStr">
        <is>
          <t>APO/HAM</t>
        </is>
      </c>
      <c r="C15" t="inlineStr"/>
      <c r="D15" t="inlineStr">
        <is>
          <t>Quick</t>
        </is>
      </c>
      <c r="E15" t="inlineStr"/>
      <c r="F15" t="inlineStr">
        <is>
          <t>Efficiency</t>
        </is>
      </c>
    </row>
    <row r="16">
      <c r="A16" t="inlineStr">
        <is>
          <t>2025-12-11</t>
        </is>
      </c>
      <c r="B16" t="inlineStr">
        <is>
          <t>Alarm Mgmt</t>
        </is>
      </c>
      <c r="C16" t="inlineStr">
        <is>
          <t>RE: ETD_UTIL: Provided Tag Sync add/delete lists and reasoning for In-Progress versions created by s</t>
        </is>
      </c>
      <c r="D16" t="inlineStr">
        <is>
          <t>Low</t>
        </is>
      </c>
      <c r="E16" t="inlineStr"/>
      <c r="F16" t="inlineStr">
        <is>
          <t>Production</t>
        </is>
      </c>
    </row>
    <row r="17">
      <c r="A17" t="inlineStr">
        <is>
          <t>2025-12-11</t>
        </is>
      </c>
      <c r="B17" t="inlineStr">
        <is>
          <t>Experion/TPS</t>
        </is>
      </c>
      <c r="C17" t="inlineStr">
        <is>
          <t>RE: Significant issue with alarm discrepancies occurring between the servers and the consoles: Quest</t>
        </is>
      </c>
      <c r="D17" t="inlineStr">
        <is>
          <t>Medium</t>
        </is>
      </c>
      <c r="E17" t="inlineStr"/>
      <c r="F17" t="inlineStr">
        <is>
          <t>Safety</t>
        </is>
      </c>
    </row>
    <row r="18">
      <c r="A18" t="inlineStr">
        <is>
          <t>2025-12-29</t>
        </is>
      </c>
      <c r="B18" t="inlineStr">
        <is>
          <t>Integrity (ALI)</t>
        </is>
      </c>
      <c r="C18" t="inlineStr">
        <is>
          <t>RE: Zip files transferred correctly as well: Verified transfer job execution from doublehop to INT01</t>
        </is>
      </c>
      <c r="D18" t="inlineStr">
        <is>
          <t>Low</t>
        </is>
      </c>
      <c r="E18" t="inlineStr"/>
      <c r="F18" t="inlineStr">
        <is>
          <t>Low</t>
        </is>
      </c>
    </row>
    <row r="19">
      <c r="A19" t="inlineStr">
        <is>
          <t>2025-12-31</t>
        </is>
      </c>
      <c r="B19" t="inlineStr">
        <is>
          <t>Experion/TPS</t>
        </is>
      </c>
      <c r="C19" t="inlineStr">
        <is>
          <t>RE: DAS 91DAS005: Chased missing SUPP events on DAS triggers; captured re-init actions; warned about</t>
        </is>
      </c>
      <c r="D19" t="inlineStr">
        <is>
          <t>Low</t>
        </is>
      </c>
      <c r="E19" t="inlineStr"/>
      <c r="F19" t="inlineStr">
        <is>
          <t>Safety</t>
        </is>
      </c>
    </row>
    <row r="20">
      <c r="A20" t="inlineStr"/>
      <c r="B20" t="inlineStr"/>
      <c r="C20" t="inlineStr"/>
      <c r="D20" t="inlineStr"/>
      <c r="E20" t="inlineStr"/>
      <c r="F20" t="inlineStr"/>
    </row>
    <row r="21">
      <c r="A21">
        <f>== DIAGNOSTIC ===</f>
        <v/>
      </c>
      <c r="B21" t="inlineStr"/>
      <c r="C21" t="inlineStr"/>
      <c r="D21" t="inlineStr"/>
      <c r="E21" t="inlineStr"/>
      <c r="F21" t="inlineStr"/>
    </row>
    <row r="22">
      <c r="A22" t="inlineStr">
        <is>
          <t>Date</t>
        </is>
      </c>
      <c r="B22" t="inlineStr">
        <is>
          <t>System</t>
        </is>
      </c>
      <c r="C22" t="inlineStr">
        <is>
          <t>Summary</t>
        </is>
      </c>
      <c r="D22" t="inlineStr">
        <is>
          <t>Complexity</t>
        </is>
      </c>
      <c r="E22" t="inlineStr">
        <is>
          <t>Resolution</t>
        </is>
      </c>
      <c r="F22" t="inlineStr">
        <is>
          <t>Impact</t>
        </is>
      </c>
    </row>
    <row r="23">
      <c r="A23" t="inlineStr">
        <is>
          <t>2025-12-14</t>
        </is>
      </c>
      <c r="B23" t="inlineStr">
        <is>
          <t>ACM/SCADA</t>
        </is>
      </c>
      <c r="C23" t="inlineStr"/>
      <c r="D23" t="inlineStr">
        <is>
          <t>Major</t>
        </is>
      </c>
      <c r="E23" t="inlineStr"/>
      <c r="F23" t="inlineStr">
        <is>
          <t>Safety</t>
        </is>
      </c>
    </row>
    <row r="24">
      <c r="A24" t="inlineStr"/>
      <c r="B24" t="inlineStr"/>
      <c r="C24" t="inlineStr"/>
      <c r="D24" t="inlineStr"/>
      <c r="E24" t="inlineStr"/>
      <c r="F24" t="inlineStr"/>
    </row>
    <row r="25">
      <c r="A25">
        <f>== L1 INTEGRITY ===</f>
        <v/>
      </c>
      <c r="B25" t="inlineStr"/>
      <c r="C25" t="inlineStr"/>
      <c r="D25" t="inlineStr"/>
      <c r="E25" t="inlineStr"/>
      <c r="F25" t="inlineStr"/>
    </row>
    <row r="26">
      <c r="A26" t="inlineStr">
        <is>
          <t>Date</t>
        </is>
      </c>
      <c r="B26" t="inlineStr">
        <is>
          <t>System</t>
        </is>
      </c>
      <c r="C26" t="inlineStr">
        <is>
          <t>Summary</t>
        </is>
      </c>
      <c r="D26" t="inlineStr">
        <is>
          <t>Complexity</t>
        </is>
      </c>
      <c r="E26" t="inlineStr">
        <is>
          <t>Resolution</t>
        </is>
      </c>
      <c r="F26" t="inlineStr">
        <is>
          <t>Impact</t>
        </is>
      </c>
    </row>
    <row r="27">
      <c r="A27" t="inlineStr">
        <is>
          <t>2025-12-29</t>
        </is>
      </c>
      <c r="B27" t="inlineStr">
        <is>
          <t>Experion/TPS</t>
        </is>
      </c>
      <c r="C27" t="inlineStr">
        <is>
          <t xml:space="preserve">RE: UDC Agents: Tracked redeploys across ESV/EVT fleet; highlighted remaining problematic nodes for </t>
        </is>
      </c>
      <c r="D27" t="inlineStr">
        <is>
          <t>Low</t>
        </is>
      </c>
      <c r="E27" t="inlineStr"/>
      <c r="F27" t="inlineStr">
        <is>
          <t>Low</t>
        </is>
      </c>
    </row>
    <row r="28">
      <c r="A28" t="inlineStr"/>
      <c r="B28" t="inlineStr"/>
      <c r="C28" t="inlineStr"/>
      <c r="D28" t="inlineStr"/>
      <c r="E28" t="inlineStr"/>
      <c r="F28" t="inlineStr"/>
    </row>
    <row r="29">
      <c r="A29">
        <f>== L1 INTEGRITY, ALARM RATIONALIZATION ===</f>
        <v/>
      </c>
      <c r="B29" t="inlineStr"/>
      <c r="C29" t="inlineStr"/>
      <c r="D29" t="inlineStr"/>
      <c r="E29" t="inlineStr"/>
      <c r="F29" t="inlineStr"/>
    </row>
    <row r="30">
      <c r="A30" t="inlineStr">
        <is>
          <t>Date</t>
        </is>
      </c>
      <c r="B30" t="inlineStr">
        <is>
          <t>System</t>
        </is>
      </c>
      <c r="C30" t="inlineStr">
        <is>
          <t>Summary</t>
        </is>
      </c>
      <c r="D30" t="inlineStr">
        <is>
          <t>Complexity</t>
        </is>
      </c>
      <c r="E30" t="inlineStr">
        <is>
          <t>Resolution</t>
        </is>
      </c>
      <c r="F30" t="inlineStr">
        <is>
          <t>Impact</t>
        </is>
      </c>
    </row>
    <row r="31">
      <c r="A31" t="inlineStr">
        <is>
          <t>2025-12-31</t>
        </is>
      </c>
      <c r="B31" t="inlineStr">
        <is>
          <t>SIS/Triconex</t>
        </is>
      </c>
      <c r="C31" t="inlineStr">
        <is>
          <t>RE: Trident DI Issues - LOV: Pointed to CyberIntegrity inventory capability; noted current limitatio</t>
        </is>
      </c>
      <c r="D31" t="inlineStr">
        <is>
          <t>Low</t>
        </is>
      </c>
      <c r="E31" t="inlineStr"/>
      <c r="F31" t="inlineStr">
        <is>
          <t>Production</t>
        </is>
      </c>
    </row>
    <row r="32">
      <c r="A32" t="inlineStr"/>
      <c r="B32" t="inlineStr"/>
      <c r="C32" t="inlineStr"/>
      <c r="D32" t="inlineStr"/>
      <c r="E32" t="inlineStr"/>
      <c r="F32" t="inlineStr"/>
    </row>
    <row r="33">
      <c r="A33">
        <f>== L1 INTEGRITY, ALARM RATIONALIZATION, LEGACY MODERNIZATION ===</f>
        <v/>
      </c>
      <c r="B33" t="inlineStr"/>
      <c r="C33" t="inlineStr"/>
      <c r="D33" t="inlineStr"/>
      <c r="E33" t="inlineStr"/>
      <c r="F33" t="inlineStr"/>
    </row>
    <row r="34">
      <c r="A34" t="inlineStr">
        <is>
          <t>Date</t>
        </is>
      </c>
      <c r="B34" t="inlineStr">
        <is>
          <t>System</t>
        </is>
      </c>
      <c r="C34" t="inlineStr">
        <is>
          <t>Summary</t>
        </is>
      </c>
      <c r="D34" t="inlineStr">
        <is>
          <t>Complexity</t>
        </is>
      </c>
      <c r="E34" t="inlineStr">
        <is>
          <t>Resolution</t>
        </is>
      </c>
      <c r="F34" t="inlineStr">
        <is>
          <t>Impact</t>
        </is>
      </c>
    </row>
    <row r="35">
      <c r="A35" t="inlineStr">
        <is>
          <t>2025-12-29</t>
        </is>
      </c>
      <c r="B35" t="inlineStr">
        <is>
          <t>SIS/Triconex</t>
        </is>
      </c>
      <c r="C35" t="inlineStr">
        <is>
          <t>RE: Integrity TS1131 cannot view XPS: Pursued PDF-based workaround and asked for model changes (Aha!</t>
        </is>
      </c>
      <c r="D35" t="inlineStr">
        <is>
          <t>High</t>
        </is>
      </c>
      <c r="E35" t="inlineStr"/>
      <c r="F35" t="inlineStr">
        <is>
          <t>Safety</t>
        </is>
      </c>
    </row>
    <row r="36">
      <c r="A36" t="inlineStr"/>
      <c r="B36" t="inlineStr"/>
      <c r="C36" t="inlineStr"/>
      <c r="D36" t="inlineStr"/>
      <c r="E36" t="inlineStr"/>
      <c r="F36" t="inlineStr"/>
    </row>
    <row r="37">
      <c r="A37">
        <f>== L1 INTEGRITY, ALARM RATIONALIZATION, UNIT SUPPORT ===</f>
        <v/>
      </c>
      <c r="B37" t="inlineStr"/>
      <c r="C37" t="inlineStr"/>
      <c r="D37" t="inlineStr"/>
      <c r="E37" t="inlineStr"/>
      <c r="F37" t="inlineStr"/>
    </row>
    <row r="38">
      <c r="A38" t="inlineStr">
        <is>
          <t>Date</t>
        </is>
      </c>
      <c r="B38" t="inlineStr">
        <is>
          <t>System</t>
        </is>
      </c>
      <c r="C38" t="inlineStr">
        <is>
          <t>Summary</t>
        </is>
      </c>
      <c r="D38" t="inlineStr">
        <is>
          <t>Complexity</t>
        </is>
      </c>
      <c r="E38" t="inlineStr">
        <is>
          <t>Resolution</t>
        </is>
      </c>
      <c r="F38" t="inlineStr">
        <is>
          <t>Impact</t>
        </is>
      </c>
    </row>
    <row r="39">
      <c r="A39" t="inlineStr">
        <is>
          <t>2025-12-17</t>
        </is>
      </c>
      <c r="B39" t="inlineStr">
        <is>
          <t>Experion/TPS</t>
        </is>
      </c>
      <c r="C39" t="inlineStr">
        <is>
          <t>RE: LCN3 (ALKY) DCS Backup and Integrity Update: Coordinated D3K EC schedules and executed backups f</t>
        </is>
      </c>
      <c r="D39" t="inlineStr">
        <is>
          <t>Low</t>
        </is>
      </c>
      <c r="E39" t="inlineStr"/>
      <c r="F39" t="inlineStr">
        <is>
          <t>Efficiency</t>
        </is>
      </c>
    </row>
    <row r="40">
      <c r="A40" t="inlineStr"/>
      <c r="B40" t="inlineStr"/>
      <c r="C40" t="inlineStr"/>
      <c r="D40" t="inlineStr"/>
      <c r="E40" t="inlineStr"/>
      <c r="F40" t="inlineStr"/>
    </row>
    <row r="41">
      <c r="A41">
        <f>== LEGACY MODERNIZATION ===</f>
        <v/>
      </c>
      <c r="B41" t="inlineStr"/>
      <c r="C41" t="inlineStr"/>
      <c r="D41" t="inlineStr"/>
      <c r="E41" t="inlineStr"/>
      <c r="F41" t="inlineStr"/>
    </row>
    <row r="42">
      <c r="A42" t="inlineStr">
        <is>
          <t>Date</t>
        </is>
      </c>
      <c r="B42" t="inlineStr">
        <is>
          <t>System</t>
        </is>
      </c>
      <c r="C42" t="inlineStr">
        <is>
          <t>Summary</t>
        </is>
      </c>
      <c r="D42" t="inlineStr">
        <is>
          <t>Complexity</t>
        </is>
      </c>
      <c r="E42" t="inlineStr">
        <is>
          <t>Resolution</t>
        </is>
      </c>
      <c r="F42" t="inlineStr">
        <is>
          <t>Impact</t>
        </is>
      </c>
    </row>
    <row r="43">
      <c r="A43" t="inlineStr">
        <is>
          <t>2025-12-08</t>
        </is>
      </c>
      <c r="B43" t="inlineStr">
        <is>
          <t>Experion/TPS</t>
        </is>
      </c>
      <c r="C43" t="inlineStr">
        <is>
          <t>FW: Re: DSPPrime on TDC consoles: Shared dspprime/pntbld procedure to purge stale TDC points after c</t>
        </is>
      </c>
      <c r="D43" t="inlineStr">
        <is>
          <t>Low</t>
        </is>
      </c>
      <c r="E43" t="inlineStr"/>
      <c r="F43" t="inlineStr">
        <is>
          <t>Low</t>
        </is>
      </c>
    </row>
    <row r="44">
      <c r="A44" t="inlineStr"/>
      <c r="B44" t="inlineStr"/>
      <c r="C44" t="inlineStr"/>
      <c r="D44" t="inlineStr"/>
      <c r="E44" t="inlineStr"/>
      <c r="F44" t="inlineStr"/>
    </row>
    <row r="45">
      <c r="A45">
        <f>== UNIT SUPPORT ===</f>
        <v/>
      </c>
      <c r="B45" t="inlineStr"/>
      <c r="C45" t="inlineStr"/>
      <c r="D45" t="inlineStr"/>
      <c r="E45" t="inlineStr"/>
      <c r="F45" t="inlineStr"/>
    </row>
    <row r="46">
      <c r="A46" t="inlineStr">
        <is>
          <t>Date</t>
        </is>
      </c>
      <c r="B46" t="inlineStr">
        <is>
          <t>System</t>
        </is>
      </c>
      <c r="C46" t="inlineStr">
        <is>
          <t>Summary</t>
        </is>
      </c>
      <c r="D46" t="inlineStr">
        <is>
          <t>Complexity</t>
        </is>
      </c>
      <c r="E46" t="inlineStr">
        <is>
          <t>Resolution</t>
        </is>
      </c>
      <c r="F46" t="inlineStr">
        <is>
          <t>Impact</t>
        </is>
      </c>
    </row>
    <row r="47">
      <c r="A47" t="inlineStr">
        <is>
          <t>2025-12-11</t>
        </is>
      </c>
      <c r="B47" t="inlineStr">
        <is>
          <t>PLC (Rockwell)</t>
        </is>
      </c>
      <c r="C47" t="inlineStr">
        <is>
          <t>FW: FCC System Alarm 11SPLC30AO: Analyzed polling performance vs. register gaps; requested change ch</t>
        </is>
      </c>
      <c r="D47" t="inlineStr">
        <is>
          <t>Low</t>
        </is>
      </c>
      <c r="E47" t="inlineStr"/>
      <c r="F47" t="inlineStr">
        <is>
          <t>Safety</t>
        </is>
      </c>
    </row>
    <row r="48">
      <c r="A48" t="inlineStr">
        <is>
          <t>2025-12-19</t>
        </is>
      </c>
      <c r="B48" t="inlineStr">
        <is>
          <t>Experion/TPS</t>
        </is>
      </c>
      <c r="C48" t="inlineStr">
        <is>
          <t xml:space="preserve">RE: LCN4 17XA861 and 84UA822 chattering alarms: Clarified INHIBIT vs DISABLE parity for suppression </t>
        </is>
      </c>
      <c r="D48" t="inlineStr">
        <is>
          <t>Medium</t>
        </is>
      </c>
      <c r="E48" t="inlineStr"/>
      <c r="F48" t="inlineStr">
        <is>
          <t>Safety</t>
        </is>
      </c>
    </row>
    <row r="49">
      <c r="A49" t="inlineStr"/>
      <c r="B49" t="inlineStr"/>
      <c r="C49" t="inlineStr"/>
      <c r="D49" t="inlineStr"/>
      <c r="E49" t="inlineStr"/>
      <c r="F4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sheetData>
    <row r="1">
      <c r="A1">
        <f>== ALARM ===</f>
        <v/>
      </c>
      <c r="B1" t="inlineStr"/>
      <c r="C1" t="inlineStr"/>
      <c r="D1" t="inlineStr"/>
      <c r="E1" t="inlineStr"/>
    </row>
    <row r="2">
      <c r="A2" t="inlineStr">
        <is>
          <t>Date</t>
        </is>
      </c>
      <c r="B2" t="inlineStr">
        <is>
          <t>System</t>
        </is>
      </c>
      <c r="C2" t="inlineStr">
        <is>
          <t>Summary</t>
        </is>
      </c>
      <c r="D2" t="inlineStr">
        <is>
          <t>Stream</t>
        </is>
      </c>
      <c r="E2" t="inlineStr">
        <is>
          <t>Complexity</t>
        </is>
      </c>
    </row>
    <row r="3">
      <c r="A3" t="inlineStr">
        <is>
          <t>2025-12-02</t>
        </is>
      </c>
      <c r="B3" t="inlineStr">
        <is>
          <t>UPS/COM Alarm</t>
        </is>
      </c>
      <c r="C3" t="inlineStr"/>
      <c r="D3" t="inlineStr">
        <is>
          <t>Day-to-Day</t>
        </is>
      </c>
      <c r="E3" t="inlineStr">
        <is>
          <t>Moderate</t>
        </is>
      </c>
    </row>
    <row r="4">
      <c r="A4" t="inlineStr">
        <is>
          <t>2025-12-11</t>
        </is>
      </c>
      <c r="B4" t="inlineStr">
        <is>
          <t>Alarm Mgmt</t>
        </is>
      </c>
      <c r="C4" t="inlineStr">
        <is>
          <t>RE: APO 3.0 Installation: Raised L3/L4 edit constraints and CAR/PAR impacts; proposed template app/d</t>
        </is>
      </c>
      <c r="D4" t="inlineStr">
        <is>
          <t>Alarm Rationalization</t>
        </is>
      </c>
      <c r="E4" t="inlineStr">
        <is>
          <t>Low</t>
        </is>
      </c>
    </row>
    <row r="5">
      <c r="A5" t="inlineStr">
        <is>
          <t>2025-12-11</t>
        </is>
      </c>
      <c r="B5" t="inlineStr">
        <is>
          <t>Alarm Mgmt</t>
        </is>
      </c>
      <c r="C5" t="inlineStr">
        <is>
          <t xml:space="preserve">RE: Console / Dynamo: Explained suppression exposure vs. NTE reporting; reviewed specific NTE/level </t>
        </is>
      </c>
      <c r="D5" t="inlineStr">
        <is>
          <t>Alarm Rationalization</t>
        </is>
      </c>
      <c r="E5" t="inlineStr">
        <is>
          <t>Low</t>
        </is>
      </c>
    </row>
    <row r="6">
      <c r="A6" t="inlineStr">
        <is>
          <t>2025-12-11</t>
        </is>
      </c>
      <c r="B6" t="inlineStr">
        <is>
          <t>Alarm Mgmt</t>
        </is>
      </c>
      <c r="C6" t="inlineStr">
        <is>
          <t>RE: ETD_UTIL: Provided Tag Sync add/delete lists and reasoning for In-Progress versions created by s</t>
        </is>
      </c>
      <c r="D6" t="inlineStr">
        <is>
          <t>Day-to-Day</t>
        </is>
      </c>
      <c r="E6" t="inlineStr">
        <is>
          <t>Low</t>
        </is>
      </c>
    </row>
    <row r="7">
      <c r="A7" t="inlineStr">
        <is>
          <t>2025-12-16</t>
        </is>
      </c>
      <c r="B7" t="inlineStr">
        <is>
          <t>Alarm Mgmt</t>
        </is>
      </c>
      <c r="C7" t="inlineStr">
        <is>
          <t>SPW Dynamo Activities: Investigated bulk UnSuppress actions and audit behavior across TPS/Experion.</t>
        </is>
      </c>
      <c r="D7" t="inlineStr">
        <is>
          <t>Alarm Rationalization, Unit Support</t>
        </is>
      </c>
      <c r="E7" t="inlineStr">
        <is>
          <t>Low</t>
        </is>
      </c>
    </row>
    <row r="8">
      <c r="A8" t="inlineStr">
        <is>
          <t>2025-12-29</t>
        </is>
      </c>
      <c r="B8" t="inlineStr">
        <is>
          <t>Alarm Mgmt</t>
        </is>
      </c>
      <c r="C8" t="inlineStr">
        <is>
          <t>RE: ACM Secondary Parameter Update: Ran secondary parameter update to push QB description/alarm edit</t>
        </is>
      </c>
      <c r="D8" t="inlineStr">
        <is>
          <t>Alarm Rationalization</t>
        </is>
      </c>
      <c r="E8" t="inlineStr">
        <is>
          <t>Low</t>
        </is>
      </c>
    </row>
    <row r="9">
      <c r="A9" t="inlineStr">
        <is>
          <t>2025-12-29</t>
        </is>
      </c>
      <c r="B9" t="inlineStr">
        <is>
          <t>Alarm Mgmt</t>
        </is>
      </c>
      <c r="C9" t="inlineStr">
        <is>
          <t>RE: ALERT: ACM DB Replication Heartbeat not implemented or cannot be detected: Confirmed the replica</t>
        </is>
      </c>
      <c r="D9" t="inlineStr">
        <is>
          <t>Alarm Rationalization</t>
        </is>
      </c>
      <c r="E9" t="inlineStr">
        <is>
          <t>High</t>
        </is>
      </c>
    </row>
    <row r="10">
      <c r="A10" t="inlineStr"/>
      <c r="B10" t="inlineStr"/>
      <c r="C10" t="inlineStr"/>
      <c r="D10" t="inlineStr"/>
      <c r="E10" t="inlineStr"/>
    </row>
    <row r="11">
      <c r="A11">
        <f>== DCS ===</f>
        <v/>
      </c>
      <c r="B11" t="inlineStr"/>
      <c r="C11" t="inlineStr"/>
      <c r="D11" t="inlineStr"/>
      <c r="E11" t="inlineStr"/>
    </row>
    <row r="12">
      <c r="A12" t="inlineStr">
        <is>
          <t>Date</t>
        </is>
      </c>
      <c r="B12" t="inlineStr">
        <is>
          <t>System</t>
        </is>
      </c>
      <c r="C12" t="inlineStr">
        <is>
          <t>Summary</t>
        </is>
      </c>
      <c r="D12" t="inlineStr">
        <is>
          <t>Stream</t>
        </is>
      </c>
      <c r="E12" t="inlineStr">
        <is>
          <t>Complexity</t>
        </is>
      </c>
    </row>
    <row r="13">
      <c r="A13" t="inlineStr">
        <is>
          <t>2025-12-08</t>
        </is>
      </c>
      <c r="B13" t="inlineStr">
        <is>
          <t>Experion/TPS</t>
        </is>
      </c>
      <c r="C13" t="inlineStr">
        <is>
          <t>FW: Re: DSPPrime on TDC consoles: Shared dspprime/pntbld procedure to purge stale TDC points after c</t>
        </is>
      </c>
      <c r="D13" t="inlineStr">
        <is>
          <t>Legacy Modernization</t>
        </is>
      </c>
      <c r="E13" t="inlineStr">
        <is>
          <t>Low</t>
        </is>
      </c>
    </row>
    <row r="14">
      <c r="A14" t="inlineStr">
        <is>
          <t>2025-12-11</t>
        </is>
      </c>
      <c r="B14" t="inlineStr">
        <is>
          <t>Experion/TPS</t>
        </is>
      </c>
      <c r="C14" t="inlineStr">
        <is>
          <t>RE: Significant issue with alarm discrepancies occurring between the servers and the consoles: Quest</t>
        </is>
      </c>
      <c r="D14" t="inlineStr">
        <is>
          <t>Day-to-Day</t>
        </is>
      </c>
      <c r="E14" t="inlineStr">
        <is>
          <t>Medium</t>
        </is>
      </c>
    </row>
    <row r="15">
      <c r="A15" t="inlineStr">
        <is>
          <t>2025-12-17</t>
        </is>
      </c>
      <c r="B15" t="inlineStr">
        <is>
          <t>Experion/TPS</t>
        </is>
      </c>
      <c r="C15" t="inlineStr">
        <is>
          <t>RE: LCN3 (ALKY) DCS Backup and Integrity Update: Coordinated D3K EC schedules and executed backups f</t>
        </is>
      </c>
      <c r="D15" t="inlineStr">
        <is>
          <t>L1 Integrity, Alarm Rationalization, Unit Support</t>
        </is>
      </c>
      <c r="E15" t="inlineStr">
        <is>
          <t>Low</t>
        </is>
      </c>
    </row>
    <row r="16">
      <c r="A16" t="inlineStr">
        <is>
          <t>2025-12-19</t>
        </is>
      </c>
      <c r="B16" t="inlineStr">
        <is>
          <t>Experion/TPS</t>
        </is>
      </c>
      <c r="C16" t="inlineStr">
        <is>
          <t xml:space="preserve">RE: LCN4 17XA861 and 84UA822 chattering alarms: Clarified INHIBIT vs DISABLE parity for suppression </t>
        </is>
      </c>
      <c r="D16" t="inlineStr">
        <is>
          <t>Unit Support</t>
        </is>
      </c>
      <c r="E16" t="inlineStr">
        <is>
          <t>Medium</t>
        </is>
      </c>
    </row>
    <row r="17">
      <c r="A17" t="inlineStr">
        <is>
          <t>2025-12-29</t>
        </is>
      </c>
      <c r="B17" t="inlineStr">
        <is>
          <t>Experion/TPS</t>
        </is>
      </c>
      <c r="C17" t="inlineStr">
        <is>
          <t xml:space="preserve">RE: UDC Agents: Tracked redeploys across ESV/EVT fleet; highlighted remaining problematic nodes for </t>
        </is>
      </c>
      <c r="D17" t="inlineStr">
        <is>
          <t>L1 Integrity</t>
        </is>
      </c>
      <c r="E17" t="inlineStr">
        <is>
          <t>Low</t>
        </is>
      </c>
    </row>
    <row r="18">
      <c r="A18" t="inlineStr">
        <is>
          <t>2025-12-31</t>
        </is>
      </c>
      <c r="B18" t="inlineStr">
        <is>
          <t>Experion/TPS</t>
        </is>
      </c>
      <c r="C18" t="inlineStr">
        <is>
          <t>RE: DAS 91DAS005: Chased missing SUPP events on DAS triggers; captured re-init actions; warned about</t>
        </is>
      </c>
      <c r="D18" t="inlineStr">
        <is>
          <t>Day-to-Day</t>
        </is>
      </c>
      <c r="E18" t="inlineStr">
        <is>
          <t>Low</t>
        </is>
      </c>
    </row>
    <row r="19">
      <c r="A19" t="inlineStr"/>
      <c r="B19" t="inlineStr"/>
      <c r="C19" t="inlineStr"/>
      <c r="D19" t="inlineStr"/>
      <c r="E19" t="inlineStr"/>
    </row>
    <row r="20">
      <c r="A20">
        <f>== OTHER ===</f>
        <v/>
      </c>
      <c r="B20" t="inlineStr"/>
      <c r="C20" t="inlineStr"/>
      <c r="D20" t="inlineStr"/>
      <c r="E20" t="inlineStr"/>
    </row>
    <row r="21">
      <c r="A21" t="inlineStr">
        <is>
          <t>Date</t>
        </is>
      </c>
      <c r="B21" t="inlineStr">
        <is>
          <t>System</t>
        </is>
      </c>
      <c r="C21" t="inlineStr">
        <is>
          <t>Summary</t>
        </is>
      </c>
      <c r="D21" t="inlineStr">
        <is>
          <t>Stream</t>
        </is>
      </c>
      <c r="E21" t="inlineStr">
        <is>
          <t>Complexity</t>
        </is>
      </c>
    </row>
    <row r="22">
      <c r="A22" t="inlineStr">
        <is>
          <t>2025-12-04</t>
        </is>
      </c>
      <c r="B22" t="inlineStr">
        <is>
          <t>APO/HAM</t>
        </is>
      </c>
      <c r="C22" t="inlineStr"/>
      <c r="D22" t="inlineStr">
        <is>
          <t>Day-to-Day</t>
        </is>
      </c>
      <c r="E22" t="inlineStr">
        <is>
          <t>Quick</t>
        </is>
      </c>
    </row>
    <row r="23">
      <c r="A23" t="inlineStr">
        <is>
          <t>2025-12-14</t>
        </is>
      </c>
      <c r="B23" t="inlineStr">
        <is>
          <t>ACM/SCADA</t>
        </is>
      </c>
      <c r="C23" t="inlineStr"/>
      <c r="D23" t="inlineStr">
        <is>
          <t>Diagnostic</t>
        </is>
      </c>
      <c r="E23" t="inlineStr">
        <is>
          <t>Major</t>
        </is>
      </c>
    </row>
    <row r="24">
      <c r="A24" t="inlineStr">
        <is>
          <t>2025-12-29</t>
        </is>
      </c>
      <c r="B24" t="inlineStr">
        <is>
          <t>Integrity (ALI)</t>
        </is>
      </c>
      <c r="C24" t="inlineStr">
        <is>
          <t>RE: Zip files transferred correctly as well: Verified transfer job execution from doublehop to INT01</t>
        </is>
      </c>
      <c r="D24" t="inlineStr">
        <is>
          <t>Day-to-Day</t>
        </is>
      </c>
      <c r="E24" t="inlineStr">
        <is>
          <t>Low</t>
        </is>
      </c>
    </row>
    <row r="25">
      <c r="A25" t="inlineStr"/>
      <c r="B25" t="inlineStr"/>
      <c r="C25" t="inlineStr"/>
      <c r="D25" t="inlineStr"/>
      <c r="E25" t="inlineStr"/>
    </row>
    <row r="26">
      <c r="A26">
        <f>== PLC ===</f>
        <v/>
      </c>
      <c r="B26" t="inlineStr"/>
      <c r="C26" t="inlineStr"/>
      <c r="D26" t="inlineStr"/>
      <c r="E26" t="inlineStr"/>
    </row>
    <row r="27">
      <c r="A27" t="inlineStr">
        <is>
          <t>Date</t>
        </is>
      </c>
      <c r="B27" t="inlineStr">
        <is>
          <t>System</t>
        </is>
      </c>
      <c r="C27" t="inlineStr">
        <is>
          <t>Summary</t>
        </is>
      </c>
      <c r="D27" t="inlineStr">
        <is>
          <t>Stream</t>
        </is>
      </c>
      <c r="E27" t="inlineStr">
        <is>
          <t>Complexity</t>
        </is>
      </c>
    </row>
    <row r="28">
      <c r="A28" t="inlineStr">
        <is>
          <t>2025-12-11</t>
        </is>
      </c>
      <c r="B28" t="inlineStr">
        <is>
          <t>PLC (Rockwell)</t>
        </is>
      </c>
      <c r="C28" t="inlineStr">
        <is>
          <t>FW: FCC System Alarm 11SPLC30AO: Analyzed polling performance vs. register gaps; requested change ch</t>
        </is>
      </c>
      <c r="D28" t="inlineStr">
        <is>
          <t>Unit Support</t>
        </is>
      </c>
      <c r="E28" t="inlineStr">
        <is>
          <t>Low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SIS ===</f>
        <v/>
      </c>
      <c r="B30" t="inlineStr"/>
      <c r="C30" t="inlineStr"/>
      <c r="D30" t="inlineStr"/>
      <c r="E30" t="inlineStr"/>
    </row>
    <row r="31">
      <c r="A31" t="inlineStr">
        <is>
          <t>Date</t>
        </is>
      </c>
      <c r="B31" t="inlineStr">
        <is>
          <t>System</t>
        </is>
      </c>
      <c r="C31" t="inlineStr">
        <is>
          <t>Summary</t>
        </is>
      </c>
      <c r="D31" t="inlineStr">
        <is>
          <t>Stream</t>
        </is>
      </c>
      <c r="E31" t="inlineStr">
        <is>
          <t>Complexity</t>
        </is>
      </c>
    </row>
    <row r="32">
      <c r="A32" t="inlineStr">
        <is>
          <t>2025-12-29</t>
        </is>
      </c>
      <c r="B32" t="inlineStr">
        <is>
          <t>SIS/Triconex</t>
        </is>
      </c>
      <c r="C32" t="inlineStr">
        <is>
          <t>RE: Integrity TS1131 cannot view XPS: Pursued PDF-based workaround and asked for model changes (Aha!</t>
        </is>
      </c>
      <c r="D32" t="inlineStr">
        <is>
          <t>L1 Integrity, Alarm Rationalization, Legacy Modernization</t>
        </is>
      </c>
      <c r="E32" t="inlineStr">
        <is>
          <t>High</t>
        </is>
      </c>
    </row>
    <row r="33">
      <c r="A33" t="inlineStr">
        <is>
          <t>2025-12-31</t>
        </is>
      </c>
      <c r="B33" t="inlineStr">
        <is>
          <t>SIS/Triconex</t>
        </is>
      </c>
      <c r="C33" t="inlineStr">
        <is>
          <t>RE: Trident DI Issues - LOV: Pointed to CyberIntegrity inventory capability; noted current limitatio</t>
        </is>
      </c>
      <c r="D33" t="inlineStr">
        <is>
          <t>L1 Integrity, Alarm Rationalization</t>
        </is>
      </c>
      <c r="E33" t="inlineStr">
        <is>
          <t>Low</t>
        </is>
      </c>
    </row>
    <row r="34">
      <c r="A34" t="inlineStr"/>
      <c r="B34" t="inlineStr"/>
      <c r="C34" t="inlineStr"/>
      <c r="D34" t="inlineStr"/>
      <c r="E3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2026-01-25T01:34:22Z</dcterms:created>
  <dcterms:modified xmlns:dcterms="http://purl.org/dc/terms/" xmlns:xsi="http://www.w3.org/2001/XMLSchema-instance" xsi:type="dcterms:W3CDTF">2026-01-25T01:34:22Z</dcterms:modified>
</cp:coreProperties>
</file>