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Stream Scorecard" sheetId="3" state="visible" r:id="rId3"/>
    <sheet xmlns:r="http://schemas.openxmlformats.org/officeDocument/2006/relationships" name="All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PC VALUE TRACKER — QUARTERLY SUMMARY</t>
        </is>
      </c>
      <c r="B1" t="inlineStr"/>
    </row>
    <row r="2">
      <c r="A2" t="inlineStr">
        <is>
          <t>Quarter:</t>
        </is>
      </c>
      <c r="B2" t="inlineStr">
        <is>
          <t>Q4 2025</t>
        </is>
      </c>
    </row>
    <row r="3">
      <c r="A3" t="inlineStr">
        <is>
          <t>Generated:</t>
        </is>
      </c>
      <c r="B3" t="inlineStr">
        <is>
          <t>2026-01-24 17:36</t>
        </is>
      </c>
    </row>
    <row r="4">
      <c r="A4" t="inlineStr"/>
      <c r="B4" t="inlineStr"/>
    </row>
    <row r="5">
      <c r="A5" s="1" t="inlineStr">
        <is>
          <t>TOTAL ISSUES</t>
        </is>
      </c>
      <c r="B5" t="n">
        <v>24</v>
      </c>
    </row>
    <row r="6">
      <c r="A6" t="inlineStr"/>
      <c r="B6" t="inlineStr"/>
    </row>
    <row r="7">
      <c r="A7" s="1" t="inlineStr">
        <is>
          <t>BY MONTH</t>
        </is>
      </c>
      <c r="B7" t="inlineStr">
        <is>
          <t>Count</t>
        </is>
      </c>
    </row>
    <row r="8">
      <c r="A8" t="inlineStr">
        <is>
          <t>October 2025</t>
        </is>
      </c>
      <c r="B8" t="n">
        <v>4</v>
      </c>
    </row>
    <row r="9">
      <c r="A9" t="inlineStr">
        <is>
          <t>November 2025</t>
        </is>
      </c>
      <c r="B9" t="n">
        <v>1</v>
      </c>
    </row>
    <row r="10">
      <c r="A10" t="inlineStr">
        <is>
          <t>December 2025</t>
        </is>
      </c>
      <c r="B10" t="n">
        <v>19</v>
      </c>
    </row>
    <row r="11">
      <c r="A11" t="inlineStr"/>
      <c r="B11" t="inlineStr"/>
    </row>
    <row r="12">
      <c r="A12" s="1" t="inlineStr">
        <is>
          <t>BY STREAM</t>
        </is>
      </c>
      <c r="B12" t="inlineStr">
        <is>
          <t>Count</t>
        </is>
      </c>
    </row>
    <row r="13">
      <c r="A13" t="inlineStr">
        <is>
          <t>Day-to-Day</t>
        </is>
      </c>
      <c r="B13" t="inlineStr">
        <is>
          <t>8 (33.3%)</t>
        </is>
      </c>
    </row>
    <row r="14">
      <c r="A14" t="inlineStr">
        <is>
          <t>Unit Support</t>
        </is>
      </c>
      <c r="B14" t="inlineStr">
        <is>
          <t>4 (16.7%)</t>
        </is>
      </c>
    </row>
    <row r="15">
      <c r="A15" t="inlineStr">
        <is>
          <t>Alarm Rationalization</t>
        </is>
      </c>
      <c r="B15" t="inlineStr">
        <is>
          <t>4 (16.7%)</t>
        </is>
      </c>
    </row>
    <row r="16">
      <c r="A16" t="inlineStr">
        <is>
          <t>L1 Integrity, Legacy Modernization</t>
        </is>
      </c>
      <c r="B16" t="inlineStr">
        <is>
          <t>1 (4.2%)</t>
        </is>
      </c>
    </row>
    <row r="17">
      <c r="A17" t="inlineStr">
        <is>
          <t>Legacy Modernization</t>
        </is>
      </c>
      <c r="B17" t="inlineStr">
        <is>
          <t>1 (4.2%)</t>
        </is>
      </c>
    </row>
    <row r="18">
      <c r="A18" t="inlineStr">
        <is>
          <t>Diagnostic</t>
        </is>
      </c>
      <c r="B18" t="inlineStr">
        <is>
          <t>1 (4.2%)</t>
        </is>
      </c>
    </row>
    <row r="19">
      <c r="A19" t="inlineStr">
        <is>
          <t>Alarm Rationalization, Unit Support</t>
        </is>
      </c>
      <c r="B19" t="inlineStr">
        <is>
          <t>1 (4.2%)</t>
        </is>
      </c>
    </row>
    <row r="20">
      <c r="A20" t="inlineStr">
        <is>
          <t>L1 Integrity, Alarm Rationalization, Unit Support</t>
        </is>
      </c>
      <c r="B20" t="inlineStr">
        <is>
          <t>1 (4.2%)</t>
        </is>
      </c>
    </row>
    <row r="21">
      <c r="A21" t="inlineStr">
        <is>
          <t>L1 Integrity, Alarm Rationalization, Legacy Modernization</t>
        </is>
      </c>
      <c r="B21" t="inlineStr">
        <is>
          <t>1 (4.2%)</t>
        </is>
      </c>
    </row>
    <row r="22">
      <c r="A22" t="inlineStr">
        <is>
          <t>L1 Integrity</t>
        </is>
      </c>
      <c r="B22" t="inlineStr">
        <is>
          <t>1 (4.2%)</t>
        </is>
      </c>
    </row>
    <row r="23">
      <c r="A23" t="inlineStr">
        <is>
          <t>L1 Integrity, Alarm Rationalization</t>
        </is>
      </c>
      <c r="B23" t="inlineStr">
        <is>
          <t>1 (4.2%)</t>
        </is>
      </c>
    </row>
    <row r="24">
      <c r="A24" t="inlineStr"/>
      <c r="B24" t="inlineStr"/>
    </row>
    <row r="25">
      <c r="A25" s="1" t="inlineStr">
        <is>
          <t>BY SYSTEM</t>
        </is>
      </c>
      <c r="B25" t="inlineStr">
        <is>
          <t>Count</t>
        </is>
      </c>
    </row>
    <row r="26">
      <c r="A26" s="1" t="inlineStr">
        <is>
          <t>DCS</t>
        </is>
      </c>
      <c r="B26" t="inlineStr">
        <is>
          <t>7 (29.2%)</t>
        </is>
      </c>
    </row>
    <row r="27">
      <c r="A27" t="inlineStr">
        <is>
          <t>Alarm</t>
        </is>
      </c>
      <c r="B27" t="inlineStr">
        <is>
          <t>7 (29.2%)</t>
        </is>
      </c>
    </row>
    <row r="28">
      <c r="A28" t="inlineStr">
        <is>
          <t>Other</t>
        </is>
      </c>
      <c r="B28" t="inlineStr">
        <is>
          <t>5 (20.8%)</t>
        </is>
      </c>
    </row>
    <row r="29">
      <c r="A29" s="1" t="inlineStr">
        <is>
          <t>SIS</t>
        </is>
      </c>
      <c r="B29" t="inlineStr">
        <is>
          <t>3 (12.5%)</t>
        </is>
      </c>
    </row>
    <row r="30">
      <c r="A30" s="1" t="inlineStr">
        <is>
          <t>PLC</t>
        </is>
      </c>
      <c r="B30" t="inlineStr">
        <is>
          <t>2 (8.3%)</t>
        </is>
      </c>
    </row>
    <row r="31">
      <c r="A31" t="inlineStr"/>
      <c r="B31" t="inlineStr"/>
    </row>
    <row r="32">
      <c r="A32" s="1" t="inlineStr">
        <is>
          <t>BY COMPLEXITY</t>
        </is>
      </c>
      <c r="B32" t="inlineStr">
        <is>
          <t>Count</t>
        </is>
      </c>
    </row>
    <row r="33">
      <c r="A33" t="inlineStr">
        <is>
          <t>Quick</t>
        </is>
      </c>
      <c r="B33" t="inlineStr">
        <is>
          <t>1 (4.2%)</t>
        </is>
      </c>
    </row>
    <row r="34">
      <c r="A34" t="inlineStr">
        <is>
          <t>Low</t>
        </is>
      </c>
      <c r="B34" t="inlineStr">
        <is>
          <t>15 (62.5%)</t>
        </is>
      </c>
    </row>
    <row r="35">
      <c r="A35" t="inlineStr">
        <is>
          <t>Moderate</t>
        </is>
      </c>
      <c r="B35" t="inlineStr">
        <is>
          <t>2 (8.3%)</t>
        </is>
      </c>
    </row>
    <row r="36">
      <c r="A36" t="inlineStr">
        <is>
          <t>Medium</t>
        </is>
      </c>
      <c r="B36" t="inlineStr">
        <is>
          <t>2 (8.3%)</t>
        </is>
      </c>
    </row>
    <row r="37">
      <c r="A37" t="inlineStr">
        <is>
          <t>Major</t>
        </is>
      </c>
      <c r="B37" t="inlineStr">
        <is>
          <t>1 (4.2%)</t>
        </is>
      </c>
    </row>
    <row r="38">
      <c r="A38" t="inlineStr">
        <is>
          <t>High</t>
        </is>
      </c>
      <c r="B38" t="inlineStr">
        <is>
          <t>3 (12.5%)</t>
        </is>
      </c>
    </row>
    <row r="39">
      <c r="A39" t="inlineStr"/>
      <c r="B39" t="inlineStr"/>
    </row>
    <row r="40">
      <c r="A40" s="1" t="inlineStr">
        <is>
          <t>BY BUSINESS IMPACT</t>
        </is>
      </c>
      <c r="B40" t="inlineStr">
        <is>
          <t>Count</t>
        </is>
      </c>
    </row>
    <row r="41">
      <c r="A41" t="inlineStr">
        <is>
          <t>Production</t>
        </is>
      </c>
      <c r="B41" t="inlineStr">
        <is>
          <t>4 (16.7%)</t>
        </is>
      </c>
    </row>
    <row r="42">
      <c r="A42" t="inlineStr">
        <is>
          <t>Safety</t>
        </is>
      </c>
      <c r="B42" t="inlineStr">
        <is>
          <t>13 (54.2%)</t>
        </is>
      </c>
    </row>
    <row r="43">
      <c r="A43" t="inlineStr">
        <is>
          <t>Compliance</t>
        </is>
      </c>
      <c r="B43" t="inlineStr">
        <is>
          <t>1 (4.2%)</t>
        </is>
      </c>
    </row>
    <row r="44">
      <c r="A44" t="inlineStr">
        <is>
          <t>Efficiency</t>
        </is>
      </c>
      <c r="B44" t="inlineStr">
        <is>
          <t>2 (8.3%)</t>
        </is>
      </c>
    </row>
    <row r="45">
      <c r="A45" t="inlineStr">
        <is>
          <t>Low</t>
        </is>
      </c>
      <c r="B45" t="inlineStr">
        <is>
          <t>4 (16.7%)</t>
        </is>
      </c>
    </row>
    <row r="46">
      <c r="A46" t="inlineStr"/>
      <c r="B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TRENDS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Month</t>
        </is>
      </c>
      <c r="B3" t="inlineStr">
        <is>
          <t>Total Issues</t>
        </is>
      </c>
      <c r="C3" t="inlineStr">
        <is>
          <t>High Complexity</t>
        </is>
      </c>
      <c r="D3" t="inlineStr">
        <is>
          <t>Top Stream</t>
        </is>
      </c>
      <c r="E3" t="inlineStr">
        <is>
          <t>Top System</t>
        </is>
      </c>
    </row>
    <row r="4">
      <c r="A4" t="inlineStr">
        <is>
          <t>Oct 2025</t>
        </is>
      </c>
      <c r="B4" t="n">
        <v>4</v>
      </c>
      <c r="C4" t="n">
        <v>1</v>
      </c>
      <c r="D4" t="inlineStr">
        <is>
          <t>Unit Support</t>
        </is>
      </c>
      <c r="E4" t="inlineStr">
        <is>
          <t>Other</t>
        </is>
      </c>
    </row>
    <row r="5">
      <c r="A5" t="inlineStr">
        <is>
          <t>Nov 2025</t>
        </is>
      </c>
      <c r="B5" t="n">
        <v>1</v>
      </c>
      <c r="C5" t="n">
        <v>0</v>
      </c>
      <c r="D5" t="inlineStr">
        <is>
          <t>Day-to-Day</t>
        </is>
      </c>
      <c r="E5" t="inlineStr">
        <is>
          <t>PLC</t>
        </is>
      </c>
    </row>
    <row r="6">
      <c r="A6" t="inlineStr">
        <is>
          <t>Dec 2025</t>
        </is>
      </c>
      <c r="B6" t="n">
        <v>19</v>
      </c>
      <c r="C6" t="n">
        <v>5</v>
      </c>
      <c r="D6" t="inlineStr">
        <is>
          <t>Day-to-Day</t>
        </is>
      </c>
      <c r="E6" t="inlineStr">
        <is>
          <t>Alarm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SCORECARD</t>
        </is>
      </c>
      <c r="B1" t="inlineStr"/>
      <c r="C1" t="inlineStr"/>
      <c r="D1" t="inlineStr"/>
      <c r="E1" t="inlineStr"/>
    </row>
    <row r="2">
      <c r="A2" t="inlineStr">
        <is>
          <t>Stream</t>
        </is>
      </c>
      <c r="B2" t="inlineStr">
        <is>
          <t>Count</t>
        </is>
      </c>
      <c r="C2" t="inlineStr">
        <is>
          <t>High Complexity</t>
        </is>
      </c>
      <c r="D2" t="inlineStr">
        <is>
          <t>Safety Impact</t>
        </is>
      </c>
      <c r="E2" t="inlineStr">
        <is>
          <t>Key Systems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Alarm Rationalization</t>
        </is>
      </c>
      <c r="B4" t="n">
        <v>4</v>
      </c>
      <c r="C4" t="n">
        <v>1</v>
      </c>
      <c r="D4" t="n">
        <v>4</v>
      </c>
      <c r="E4" t="inlineStr">
        <is>
          <t>Alarm Mgmt</t>
        </is>
      </c>
    </row>
    <row r="5">
      <c r="A5" t="inlineStr">
        <is>
          <t>Alarm Rationalization, Unit Support</t>
        </is>
      </c>
      <c r="B5" t="n">
        <v>1</v>
      </c>
      <c r="C5" t="n">
        <v>0</v>
      </c>
      <c r="D5" t="n">
        <v>1</v>
      </c>
      <c r="E5" t="inlineStr">
        <is>
          <t>Alarm Mgmt</t>
        </is>
      </c>
    </row>
    <row r="6">
      <c r="A6" t="inlineStr">
        <is>
          <t>Day-to-Day</t>
        </is>
      </c>
      <c r="B6" t="n">
        <v>8</v>
      </c>
      <c r="C6" t="n">
        <v>1</v>
      </c>
      <c r="D6" t="n">
        <v>3</v>
      </c>
      <c r="E6" t="inlineStr">
        <is>
          <t>Experion/TPS, Historian, Siemens PLC</t>
        </is>
      </c>
    </row>
    <row r="7">
      <c r="A7" t="inlineStr">
        <is>
          <t>Diagnostic</t>
        </is>
      </c>
      <c r="B7" t="n">
        <v>1</v>
      </c>
      <c r="C7" t="n">
        <v>1</v>
      </c>
      <c r="D7" t="n">
        <v>1</v>
      </c>
      <c r="E7" t="inlineStr">
        <is>
          <t>ACM/SCADA</t>
        </is>
      </c>
    </row>
    <row r="8">
      <c r="A8" t="inlineStr">
        <is>
          <t>L1 Integrity</t>
        </is>
      </c>
      <c r="B8" t="n">
        <v>1</v>
      </c>
      <c r="C8" t="n">
        <v>0</v>
      </c>
      <c r="D8" t="n">
        <v>0</v>
      </c>
      <c r="E8" t="inlineStr">
        <is>
          <t>Experion/TPS</t>
        </is>
      </c>
    </row>
    <row r="9">
      <c r="A9" t="inlineStr">
        <is>
          <t>L1 Integrity, Alarm Rationalization</t>
        </is>
      </c>
      <c r="B9" t="n">
        <v>1</v>
      </c>
      <c r="C9" t="n">
        <v>0</v>
      </c>
      <c r="D9" t="n">
        <v>0</v>
      </c>
      <c r="E9" t="inlineStr">
        <is>
          <t>SIS/Triconex</t>
        </is>
      </c>
    </row>
    <row r="10">
      <c r="A10" t="inlineStr">
        <is>
          <t>L1 Integrity, Alarm Rationalization, Legacy Modernization</t>
        </is>
      </c>
      <c r="B10" t="n">
        <v>1</v>
      </c>
      <c r="C10" t="n">
        <v>1</v>
      </c>
      <c r="D10" t="n">
        <v>1</v>
      </c>
      <c r="E10" t="inlineStr">
        <is>
          <t>SIS/Triconex</t>
        </is>
      </c>
    </row>
    <row r="11">
      <c r="A11" t="inlineStr">
        <is>
          <t>L1 Integrity, Alarm Rationalization, Unit Support</t>
        </is>
      </c>
      <c r="B11" t="n">
        <v>1</v>
      </c>
      <c r="C11" t="n">
        <v>0</v>
      </c>
      <c r="D11" t="n">
        <v>0</v>
      </c>
      <c r="E11" t="inlineStr">
        <is>
          <t>Experion/TPS</t>
        </is>
      </c>
    </row>
    <row r="12">
      <c r="A12" t="inlineStr">
        <is>
          <t>L1 Integrity, Legacy Modernization</t>
        </is>
      </c>
      <c r="B12" t="n">
        <v>1</v>
      </c>
      <c r="C12" t="n">
        <v>1</v>
      </c>
      <c r="D12" t="n">
        <v>0</v>
      </c>
      <c r="E12" t="inlineStr">
        <is>
          <t>Experion/TPS</t>
        </is>
      </c>
    </row>
    <row r="13">
      <c r="A13" t="inlineStr">
        <is>
          <t>Legacy Modernization</t>
        </is>
      </c>
      <c r="B13" t="n">
        <v>1</v>
      </c>
      <c r="C13" t="n">
        <v>0</v>
      </c>
      <c r="D13" t="n">
        <v>0</v>
      </c>
      <c r="E13" t="inlineStr">
        <is>
          <t>Experion/TPS</t>
        </is>
      </c>
    </row>
    <row r="14">
      <c r="A14" t="inlineStr">
        <is>
          <t>Unit Support</t>
        </is>
      </c>
      <c r="B14" t="n">
        <v>4</v>
      </c>
      <c r="C14" t="n">
        <v>1</v>
      </c>
      <c r="D14" t="n">
        <v>3</v>
      </c>
      <c r="E14" t="inlineStr">
        <is>
          <t>SIS/Triconex, GE/Woodward/Bently, PLC (Rockwell)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>
        <f>== ALARM RATIONALIZATION (4 issues) ===</f>
        <v/>
      </c>
      <c r="B17" t="inlineStr"/>
      <c r="C17" t="inlineStr"/>
      <c r="D17" t="inlineStr"/>
      <c r="E17" t="inlineStr"/>
    </row>
    <row r="18">
      <c r="A18" t="inlineStr">
        <is>
          <t>Date</t>
        </is>
      </c>
      <c r="B18" t="inlineStr">
        <is>
          <t>System</t>
        </is>
      </c>
      <c r="C18" t="inlineStr">
        <is>
          <t>Summary</t>
        </is>
      </c>
      <c r="D18" t="inlineStr">
        <is>
          <t>Complexity</t>
        </is>
      </c>
      <c r="E18" t="inlineStr">
        <is>
          <t>Impact</t>
        </is>
      </c>
    </row>
    <row r="19">
      <c r="A19" t="inlineStr">
        <is>
          <t>2025-12-11</t>
        </is>
      </c>
      <c r="B19" t="inlineStr">
        <is>
          <t>Alarm Mgmt</t>
        </is>
      </c>
      <c r="C19" t="inlineStr">
        <is>
          <t>RE: APO 3.0 Installation: Raised L3/L4 edit constraints and CAR/PAR impacts; pro</t>
        </is>
      </c>
      <c r="D19" t="inlineStr">
        <is>
          <t>Low</t>
        </is>
      </c>
      <c r="E19" t="inlineStr">
        <is>
          <t>Safety</t>
        </is>
      </c>
    </row>
    <row r="20">
      <c r="A20" t="inlineStr">
        <is>
          <t>2025-12-11</t>
        </is>
      </c>
      <c r="B20" t="inlineStr">
        <is>
          <t>Alarm Mgmt</t>
        </is>
      </c>
      <c r="C20" t="inlineStr">
        <is>
          <t>RE: Console / Dynamo: Explained suppression exposure vs. NTE reporting; reviewed</t>
        </is>
      </c>
      <c r="D20" t="inlineStr">
        <is>
          <t>Low</t>
        </is>
      </c>
      <c r="E20" t="inlineStr">
        <is>
          <t>Safety</t>
        </is>
      </c>
    </row>
    <row r="21">
      <c r="A21" t="inlineStr">
        <is>
          <t>2025-12-29</t>
        </is>
      </c>
      <c r="B21" t="inlineStr">
        <is>
          <t>Alarm Mgmt</t>
        </is>
      </c>
      <c r="C21" t="inlineStr">
        <is>
          <t>RE: ACM Secondary Parameter Update: Ran secondary parameter update to push QB de</t>
        </is>
      </c>
      <c r="D21" t="inlineStr">
        <is>
          <t>Low</t>
        </is>
      </c>
      <c r="E21" t="inlineStr">
        <is>
          <t>Safety</t>
        </is>
      </c>
    </row>
    <row r="22">
      <c r="A22" t="inlineStr">
        <is>
          <t>2025-12-29</t>
        </is>
      </c>
      <c r="B22" t="inlineStr">
        <is>
          <t>Alarm Mgmt</t>
        </is>
      </c>
      <c r="C22" t="inlineStr">
        <is>
          <t>RE: ALERT: ACM DB Replication Heartbeat not implemented or cannot be detected: C</t>
        </is>
      </c>
      <c r="D22" t="inlineStr">
        <is>
          <t>High</t>
        </is>
      </c>
      <c r="E22" t="inlineStr">
        <is>
          <t>Safety</t>
        </is>
      </c>
    </row>
    <row r="23">
      <c r="A23" t="inlineStr"/>
      <c r="B23" t="inlineStr"/>
      <c r="C23" t="inlineStr"/>
      <c r="D23" t="inlineStr"/>
      <c r="E23" t="inlineStr"/>
    </row>
    <row r="24">
      <c r="A24">
        <f>== ALARM RATIONALIZATION, UNIT SUPPORT (1 issues) ===</f>
        <v/>
      </c>
      <c r="B24" t="inlineStr"/>
      <c r="C24" t="inlineStr"/>
      <c r="D24" t="inlineStr"/>
      <c r="E24" t="inlineStr"/>
    </row>
    <row r="25">
      <c r="A25" t="inlineStr">
        <is>
          <t>Date</t>
        </is>
      </c>
      <c r="B25" t="inlineStr">
        <is>
          <t>System</t>
        </is>
      </c>
      <c r="C25" t="inlineStr">
        <is>
          <t>Summary</t>
        </is>
      </c>
      <c r="D25" t="inlineStr">
        <is>
          <t>Complexity</t>
        </is>
      </c>
      <c r="E25" t="inlineStr">
        <is>
          <t>Impact</t>
        </is>
      </c>
    </row>
    <row r="26">
      <c r="A26" t="inlineStr">
        <is>
          <t>2025-12-16</t>
        </is>
      </c>
      <c r="B26" t="inlineStr">
        <is>
          <t>Alarm Mgmt</t>
        </is>
      </c>
      <c r="C26" t="inlineStr">
        <is>
          <t>SPW Dynamo Activities: Investigated bulk UnSuppress actions and audit behavior a</t>
        </is>
      </c>
      <c r="D26" t="inlineStr">
        <is>
          <t>Low</t>
        </is>
      </c>
      <c r="E26" t="inlineStr">
        <is>
          <t>Safety</t>
        </is>
      </c>
    </row>
    <row r="27">
      <c r="A27" t="inlineStr"/>
      <c r="B27" t="inlineStr"/>
      <c r="C27" t="inlineStr"/>
      <c r="D27" t="inlineStr"/>
      <c r="E27" t="inlineStr"/>
    </row>
    <row r="28">
      <c r="A28">
        <f>== DAY-TO-DAY (8 issues) ===</f>
        <v/>
      </c>
      <c r="B28" t="inlineStr"/>
      <c r="C28" t="inlineStr"/>
      <c r="D28" t="inlineStr"/>
      <c r="E28" t="inlineStr"/>
    </row>
    <row r="29">
      <c r="A29" t="inlineStr">
        <is>
          <t>Date</t>
        </is>
      </c>
      <c r="B29" t="inlineStr">
        <is>
          <t>System</t>
        </is>
      </c>
      <c r="C29" t="inlineStr">
        <is>
          <t>Summary</t>
        </is>
      </c>
      <c r="D29" t="inlineStr">
        <is>
          <t>Complexity</t>
        </is>
      </c>
      <c r="E29" t="inlineStr">
        <is>
          <t>Impact</t>
        </is>
      </c>
    </row>
    <row r="30">
      <c r="A30" t="inlineStr">
        <is>
          <t>2025-10-07</t>
        </is>
      </c>
      <c r="B30" t="inlineStr">
        <is>
          <t>Historian</t>
        </is>
      </c>
      <c r="C30" t="inlineStr">
        <is>
          <t>RE: Marathon | St Paul | Pre-Onsite Visit: Clarified PI vs. PHD architecture and</t>
        </is>
      </c>
      <c r="D30" t="inlineStr">
        <is>
          <t>Low</t>
        </is>
      </c>
      <c r="E30" t="inlineStr">
        <is>
          <t>Production</t>
        </is>
      </c>
    </row>
    <row r="31">
      <c r="A31" t="inlineStr">
        <is>
          <t>2025-11-14</t>
        </is>
      </c>
      <c r="B31" t="inlineStr">
        <is>
          <t>Siemens PLC</t>
        </is>
      </c>
      <c r="C31" t="inlineStr"/>
      <c r="D31" t="inlineStr">
        <is>
          <t>Moderate</t>
        </is>
      </c>
      <c r="E31" t="inlineStr">
        <is>
          <t>Production</t>
        </is>
      </c>
    </row>
    <row r="32">
      <c r="A32" t="inlineStr">
        <is>
          <t>2025-12-02</t>
        </is>
      </c>
      <c r="B32" t="inlineStr">
        <is>
          <t>UPS/COM Alarm</t>
        </is>
      </c>
      <c r="C32" t="inlineStr"/>
      <c r="D32" t="inlineStr">
        <is>
          <t>Moderate</t>
        </is>
      </c>
      <c r="E32" t="inlineStr">
        <is>
          <t>Safety</t>
        </is>
      </c>
    </row>
    <row r="33">
      <c r="A33" t="inlineStr">
        <is>
          <t>2025-12-04</t>
        </is>
      </c>
      <c r="B33" t="inlineStr">
        <is>
          <t>APO/HAM</t>
        </is>
      </c>
      <c r="C33" t="inlineStr"/>
      <c r="D33" t="inlineStr">
        <is>
          <t>Quick</t>
        </is>
      </c>
      <c r="E33" t="inlineStr">
        <is>
          <t>Efficiency</t>
        </is>
      </c>
    </row>
    <row r="34">
      <c r="A34" t="inlineStr">
        <is>
          <t>2025-12-11</t>
        </is>
      </c>
      <c r="B34" t="inlineStr">
        <is>
          <t>Alarm Mgmt</t>
        </is>
      </c>
      <c r="C34" t="inlineStr">
        <is>
          <t>RE: ETD_UTIL: Provided Tag Sync add/delete lists and reasoning for In-Progress v</t>
        </is>
      </c>
      <c r="D34" t="inlineStr">
        <is>
          <t>Low</t>
        </is>
      </c>
      <c r="E34" t="inlineStr">
        <is>
          <t>Production</t>
        </is>
      </c>
    </row>
    <row r="35">
      <c r="A35" t="inlineStr">
        <is>
          <t>2025-12-11</t>
        </is>
      </c>
      <c r="B35" t="inlineStr">
        <is>
          <t>Experion/TPS</t>
        </is>
      </c>
      <c r="C35" t="inlineStr">
        <is>
          <t>RE: Significant issue with alarm discrepancies occurring between the servers and</t>
        </is>
      </c>
      <c r="D35" t="inlineStr">
        <is>
          <t>Medium</t>
        </is>
      </c>
      <c r="E35" t="inlineStr">
        <is>
          <t>Safety</t>
        </is>
      </c>
    </row>
    <row r="36">
      <c r="A36" t="inlineStr">
        <is>
          <t>2025-12-29</t>
        </is>
      </c>
      <c r="B36" t="inlineStr">
        <is>
          <t>Integrity (ALI)</t>
        </is>
      </c>
      <c r="C36" t="inlineStr">
        <is>
          <t>RE: Zip files transferred correctly as well: Verified transfer job execution fro</t>
        </is>
      </c>
      <c r="D36" t="inlineStr">
        <is>
          <t>Low</t>
        </is>
      </c>
      <c r="E36" t="inlineStr">
        <is>
          <t>Low</t>
        </is>
      </c>
    </row>
    <row r="37">
      <c r="A37" t="inlineStr">
        <is>
          <t>2025-12-31</t>
        </is>
      </c>
      <c r="B37" t="inlineStr">
        <is>
          <t>Experion/TPS</t>
        </is>
      </c>
      <c r="C37" t="inlineStr">
        <is>
          <t>RE: DAS 91DAS005: Chased missing SUPP events on DAS triggers; captured re-init a</t>
        </is>
      </c>
      <c r="D37" t="inlineStr">
        <is>
          <t>Low</t>
        </is>
      </c>
      <c r="E37" t="inlineStr">
        <is>
          <t>Safety</t>
        </is>
      </c>
    </row>
    <row r="38">
      <c r="A38" t="inlineStr"/>
      <c r="B38" t="inlineStr"/>
      <c r="C38" t="inlineStr"/>
      <c r="D38" t="inlineStr"/>
      <c r="E38" t="inlineStr"/>
    </row>
    <row r="39">
      <c r="A39">
        <f>== DIAGNOSTIC (1 issues) ===</f>
        <v/>
      </c>
      <c r="B39" t="inlineStr"/>
      <c r="C39" t="inlineStr"/>
      <c r="D39" t="inlineStr"/>
      <c r="E39" t="inlineStr"/>
    </row>
    <row r="40">
      <c r="A40" t="inlineStr">
        <is>
          <t>Date</t>
        </is>
      </c>
      <c r="B40" t="inlineStr">
        <is>
          <t>System</t>
        </is>
      </c>
      <c r="C40" t="inlineStr">
        <is>
          <t>Summary</t>
        </is>
      </c>
      <c r="D40" t="inlineStr">
        <is>
          <t>Complexity</t>
        </is>
      </c>
      <c r="E40" t="inlineStr">
        <is>
          <t>Impact</t>
        </is>
      </c>
    </row>
    <row r="41">
      <c r="A41" t="inlineStr">
        <is>
          <t>2025-12-14</t>
        </is>
      </c>
      <c r="B41" t="inlineStr">
        <is>
          <t>ACM/SCADA</t>
        </is>
      </c>
      <c r="C41" t="inlineStr"/>
      <c r="D41" t="inlineStr">
        <is>
          <t>Major</t>
        </is>
      </c>
      <c r="E41" t="inlineStr">
        <is>
          <t>Safety</t>
        </is>
      </c>
    </row>
    <row r="42">
      <c r="A42" t="inlineStr"/>
      <c r="B42" t="inlineStr"/>
      <c r="C42" t="inlineStr"/>
      <c r="D42" t="inlineStr"/>
      <c r="E42" t="inlineStr"/>
    </row>
    <row r="43">
      <c r="A43">
        <f>== L1 INTEGRITY (1 issues) ===</f>
        <v/>
      </c>
      <c r="B43" t="inlineStr"/>
      <c r="C43" t="inlineStr"/>
      <c r="D43" t="inlineStr"/>
      <c r="E43" t="inlineStr"/>
    </row>
    <row r="44">
      <c r="A44" t="inlineStr">
        <is>
          <t>Date</t>
        </is>
      </c>
      <c r="B44" t="inlineStr">
        <is>
          <t>System</t>
        </is>
      </c>
      <c r="C44" t="inlineStr">
        <is>
          <t>Summary</t>
        </is>
      </c>
      <c r="D44" t="inlineStr">
        <is>
          <t>Complexity</t>
        </is>
      </c>
      <c r="E44" t="inlineStr">
        <is>
          <t>Impact</t>
        </is>
      </c>
    </row>
    <row r="45">
      <c r="A45" t="inlineStr">
        <is>
          <t>2025-12-29</t>
        </is>
      </c>
      <c r="B45" t="inlineStr">
        <is>
          <t>Experion/TPS</t>
        </is>
      </c>
      <c r="C45" t="inlineStr">
        <is>
          <t>RE: UDC Agents: Tracked redeploys across ESV/EVT fleet; highlighted remaining pr</t>
        </is>
      </c>
      <c r="D45" t="inlineStr">
        <is>
          <t>Low</t>
        </is>
      </c>
      <c r="E45" t="inlineStr">
        <is>
          <t>Low</t>
        </is>
      </c>
    </row>
    <row r="46">
      <c r="A46" t="inlineStr"/>
      <c r="B46" t="inlineStr"/>
      <c r="C46" t="inlineStr"/>
      <c r="D46" t="inlineStr"/>
      <c r="E46" t="inlineStr"/>
    </row>
    <row r="47">
      <c r="A47">
        <f>== L1 INTEGRITY, ALARM RATIONALIZATION (1 issues) ===</f>
        <v/>
      </c>
      <c r="B47" t="inlineStr"/>
      <c r="C47" t="inlineStr"/>
      <c r="D47" t="inlineStr"/>
      <c r="E47" t="inlineStr"/>
    </row>
    <row r="48">
      <c r="A48" t="inlineStr">
        <is>
          <t>Date</t>
        </is>
      </c>
      <c r="B48" t="inlineStr">
        <is>
          <t>System</t>
        </is>
      </c>
      <c r="C48" t="inlineStr">
        <is>
          <t>Summary</t>
        </is>
      </c>
      <c r="D48" t="inlineStr">
        <is>
          <t>Complexity</t>
        </is>
      </c>
      <c r="E48" t="inlineStr">
        <is>
          <t>Impact</t>
        </is>
      </c>
    </row>
    <row r="49">
      <c r="A49" t="inlineStr">
        <is>
          <t>2025-12-31</t>
        </is>
      </c>
      <c r="B49" t="inlineStr">
        <is>
          <t>SIS/Triconex</t>
        </is>
      </c>
      <c r="C49" t="inlineStr">
        <is>
          <t>RE: Trident DI Issues - LOV: Pointed to CyberIntegrity inventory capability; not</t>
        </is>
      </c>
      <c r="D49" t="inlineStr">
        <is>
          <t>Low</t>
        </is>
      </c>
      <c r="E49" t="inlineStr">
        <is>
          <t>Production</t>
        </is>
      </c>
    </row>
    <row r="50">
      <c r="A50" t="inlineStr"/>
      <c r="B50" t="inlineStr"/>
      <c r="C50" t="inlineStr"/>
      <c r="D50" t="inlineStr"/>
      <c r="E50" t="inlineStr"/>
    </row>
    <row r="51">
      <c r="A51">
        <f>== L1 INTEGRITY, ALARM RATIONALIZATION, LEGACY MODERNIZATION (1 issues) ===</f>
        <v/>
      </c>
      <c r="B51" t="inlineStr"/>
      <c r="C51" t="inlineStr"/>
      <c r="D51" t="inlineStr"/>
      <c r="E51" t="inlineStr"/>
    </row>
    <row r="52">
      <c r="A52" t="inlineStr">
        <is>
          <t>Date</t>
        </is>
      </c>
      <c r="B52" t="inlineStr">
        <is>
          <t>System</t>
        </is>
      </c>
      <c r="C52" t="inlineStr">
        <is>
          <t>Summary</t>
        </is>
      </c>
      <c r="D52" t="inlineStr">
        <is>
          <t>Complexity</t>
        </is>
      </c>
      <c r="E52" t="inlineStr">
        <is>
          <t>Impact</t>
        </is>
      </c>
    </row>
    <row r="53">
      <c r="A53" t="inlineStr">
        <is>
          <t>2025-12-29</t>
        </is>
      </c>
      <c r="B53" t="inlineStr">
        <is>
          <t>SIS/Triconex</t>
        </is>
      </c>
      <c r="C53" t="inlineStr">
        <is>
          <t>RE: Integrity TS1131 cannot view XPS: Pursued PDF-based workaround and asked for</t>
        </is>
      </c>
      <c r="D53" t="inlineStr">
        <is>
          <t>High</t>
        </is>
      </c>
      <c r="E53" t="inlineStr">
        <is>
          <t>Safety</t>
        </is>
      </c>
    </row>
    <row r="54">
      <c r="A54" t="inlineStr"/>
      <c r="B54" t="inlineStr"/>
      <c r="C54" t="inlineStr"/>
      <c r="D54" t="inlineStr"/>
      <c r="E54" t="inlineStr"/>
    </row>
    <row r="55">
      <c r="A55">
        <f>== L1 INTEGRITY, ALARM RATIONALIZATION, UNIT SUPPORT (1 issues) ===</f>
        <v/>
      </c>
      <c r="B55" t="inlineStr"/>
      <c r="C55" t="inlineStr"/>
      <c r="D55" t="inlineStr"/>
      <c r="E55" t="inlineStr"/>
    </row>
    <row r="56">
      <c r="A56" t="inlineStr">
        <is>
          <t>Date</t>
        </is>
      </c>
      <c r="B56" t="inlineStr">
        <is>
          <t>System</t>
        </is>
      </c>
      <c r="C56" t="inlineStr">
        <is>
          <t>Summary</t>
        </is>
      </c>
      <c r="D56" t="inlineStr">
        <is>
          <t>Complexity</t>
        </is>
      </c>
      <c r="E56" t="inlineStr">
        <is>
          <t>Impact</t>
        </is>
      </c>
    </row>
    <row r="57">
      <c r="A57" t="inlineStr">
        <is>
          <t>2025-12-17</t>
        </is>
      </c>
      <c r="B57" t="inlineStr">
        <is>
          <t>Experion/TPS</t>
        </is>
      </c>
      <c r="C57" t="inlineStr">
        <is>
          <t>RE: LCN3 (ALKY) DCS Backup and Integrity Update: Coordinated D3K EC schedules an</t>
        </is>
      </c>
      <c r="D57" t="inlineStr">
        <is>
          <t>Low</t>
        </is>
      </c>
      <c r="E57" t="inlineStr">
        <is>
          <t>Efficiency</t>
        </is>
      </c>
    </row>
    <row r="58">
      <c r="A58" t="inlineStr"/>
      <c r="B58" t="inlineStr"/>
      <c r="C58" t="inlineStr"/>
      <c r="D58" t="inlineStr"/>
      <c r="E58" t="inlineStr"/>
    </row>
    <row r="59">
      <c r="A59">
        <f>== L1 INTEGRITY, LEGACY MODERNIZATION (1 issues) ===</f>
        <v/>
      </c>
      <c r="B59" t="inlineStr"/>
      <c r="C59" t="inlineStr"/>
      <c r="D59" t="inlineStr"/>
      <c r="E59" t="inlineStr"/>
    </row>
    <row r="60">
      <c r="A60" t="inlineStr">
        <is>
          <t>Date</t>
        </is>
      </c>
      <c r="B60" t="inlineStr">
        <is>
          <t>System</t>
        </is>
      </c>
      <c r="C60" t="inlineStr">
        <is>
          <t>Summary</t>
        </is>
      </c>
      <c r="D60" t="inlineStr">
        <is>
          <t>Complexity</t>
        </is>
      </c>
      <c r="E60" t="inlineStr">
        <is>
          <t>Impact</t>
        </is>
      </c>
    </row>
    <row r="61">
      <c r="A61" t="inlineStr">
        <is>
          <t>2025-10-21</t>
        </is>
      </c>
      <c r="B61" t="inlineStr">
        <is>
          <t>Experion/TPS</t>
        </is>
      </c>
      <c r="C61" t="inlineStr">
        <is>
          <t>FW: LARINT01 - Cannot create scheduled task: Documented export cadences (EXP/TPS</t>
        </is>
      </c>
      <c r="D61" t="inlineStr">
        <is>
          <t>High</t>
        </is>
      </c>
      <c r="E61" t="inlineStr">
        <is>
          <t>Low</t>
        </is>
      </c>
    </row>
    <row r="62">
      <c r="A62" t="inlineStr"/>
      <c r="B62" t="inlineStr"/>
      <c r="C62" t="inlineStr"/>
      <c r="D62" t="inlineStr"/>
      <c r="E62" t="inlineStr"/>
    </row>
    <row r="63">
      <c r="A63">
        <f>== LEGACY MODERNIZATION (1 issues) ===</f>
        <v/>
      </c>
      <c r="B63" t="inlineStr"/>
      <c r="C63" t="inlineStr"/>
      <c r="D63" t="inlineStr"/>
      <c r="E63" t="inlineStr"/>
    </row>
    <row r="64">
      <c r="A64" t="inlineStr">
        <is>
          <t>Date</t>
        </is>
      </c>
      <c r="B64" t="inlineStr">
        <is>
          <t>System</t>
        </is>
      </c>
      <c r="C64" t="inlineStr">
        <is>
          <t>Summary</t>
        </is>
      </c>
      <c r="D64" t="inlineStr">
        <is>
          <t>Complexity</t>
        </is>
      </c>
      <c r="E64" t="inlineStr">
        <is>
          <t>Impact</t>
        </is>
      </c>
    </row>
    <row r="65">
      <c r="A65" t="inlineStr">
        <is>
          <t>2025-12-08</t>
        </is>
      </c>
      <c r="B65" t="inlineStr">
        <is>
          <t>Experion/TPS</t>
        </is>
      </c>
      <c r="C65" t="inlineStr">
        <is>
          <t>FW: Re: DSPPrime on TDC consoles: Shared dspprime/pntbld procedure to purge stal</t>
        </is>
      </c>
      <c r="D65" t="inlineStr">
        <is>
          <t>Low</t>
        </is>
      </c>
      <c r="E65" t="inlineStr">
        <is>
          <t>Low</t>
        </is>
      </c>
    </row>
    <row r="66">
      <c r="A66" t="inlineStr"/>
      <c r="B66" t="inlineStr"/>
      <c r="C66" t="inlineStr"/>
      <c r="D66" t="inlineStr"/>
      <c r="E66" t="inlineStr"/>
    </row>
    <row r="67">
      <c r="A67">
        <f>== UNIT SUPPORT (4 issues) ===</f>
        <v/>
      </c>
      <c r="B67" t="inlineStr"/>
      <c r="C67" t="inlineStr"/>
      <c r="D67" t="inlineStr"/>
      <c r="E67" t="inlineStr"/>
    </row>
    <row r="68">
      <c r="A68" t="inlineStr">
        <is>
          <t>Date</t>
        </is>
      </c>
      <c r="B68" t="inlineStr">
        <is>
          <t>System</t>
        </is>
      </c>
      <c r="C68" t="inlineStr">
        <is>
          <t>Summary</t>
        </is>
      </c>
      <c r="D68" t="inlineStr">
        <is>
          <t>Complexity</t>
        </is>
      </c>
      <c r="E68" t="inlineStr">
        <is>
          <t>Impact</t>
        </is>
      </c>
    </row>
    <row r="69">
      <c r="A69" t="inlineStr">
        <is>
          <t>2025-10-09</t>
        </is>
      </c>
      <c r="B69" t="inlineStr">
        <is>
          <t>SIS/Triconex</t>
        </is>
      </c>
      <c r="C69" t="inlineStr">
        <is>
          <t>RE: HCU TMR Alarm: Referenced prior EDM training for pulling system faults; reco</t>
        </is>
      </c>
      <c r="D69" t="inlineStr">
        <is>
          <t>Low</t>
        </is>
      </c>
      <c r="E69" t="inlineStr">
        <is>
          <t>Safety</t>
        </is>
      </c>
    </row>
    <row r="70">
      <c r="A70" t="inlineStr">
        <is>
          <t>2025-10-23</t>
        </is>
      </c>
      <c r="B70" t="inlineStr">
        <is>
          <t>GE/Woodward/Bently</t>
        </is>
      </c>
      <c r="C70" t="inlineStr">
        <is>
          <t>WCC 92 Power Distribution Card Failure: Initiated follow-up on power distributio</t>
        </is>
      </c>
      <c r="D70" t="inlineStr">
        <is>
          <t>Low</t>
        </is>
      </c>
      <c r="E70" t="inlineStr">
        <is>
          <t>Compliance</t>
        </is>
      </c>
    </row>
    <row r="71">
      <c r="A71" t="inlineStr">
        <is>
          <t>2025-12-11</t>
        </is>
      </c>
      <c r="B71" t="inlineStr">
        <is>
          <t>PLC (Rockwell)</t>
        </is>
      </c>
      <c r="C71" t="inlineStr">
        <is>
          <t>FW: FCC System Alarm 11SPLC30AO: Analyzed polling performance vs. register gaps;</t>
        </is>
      </c>
      <c r="D71" t="inlineStr">
        <is>
          <t>Low</t>
        </is>
      </c>
      <c r="E71" t="inlineStr">
        <is>
          <t>Safety</t>
        </is>
      </c>
    </row>
    <row r="72">
      <c r="A72" t="inlineStr">
        <is>
          <t>2025-12-19</t>
        </is>
      </c>
      <c r="B72" t="inlineStr">
        <is>
          <t>Experion/TPS</t>
        </is>
      </c>
      <c r="C72" t="inlineStr">
        <is>
          <t>RE: LCN4 17XA861 and 84UA822 chattering alarms: Clarified INHIBIT vs DISABLE par</t>
        </is>
      </c>
      <c r="D72" t="inlineStr">
        <is>
          <t>Medium</t>
        </is>
      </c>
      <c r="E72" t="inlineStr">
        <is>
          <t>Safety</t>
        </is>
      </c>
    </row>
    <row r="73">
      <c r="A73" t="inlineStr"/>
      <c r="B73" t="inlineStr"/>
      <c r="C73" t="inlineStr"/>
      <c r="D73" t="inlineStr"/>
      <c r="E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Summary</t>
        </is>
      </c>
      <c r="D1" t="inlineStr">
        <is>
          <t>Stream</t>
        </is>
      </c>
      <c r="E1" t="inlineStr">
        <is>
          <t>Complexity</t>
        </is>
      </c>
      <c r="F1" t="inlineStr">
        <is>
          <t>Resolution</t>
        </is>
      </c>
      <c r="G1" t="inlineStr">
        <is>
          <t>Business Impact</t>
        </is>
      </c>
    </row>
    <row r="2">
      <c r="A2" t="inlineStr">
        <is>
          <t>2025-10-07</t>
        </is>
      </c>
      <c r="B2" t="inlineStr">
        <is>
          <t>Historian</t>
        </is>
      </c>
      <c r="C2" t="inlineStr">
        <is>
          <t>RE: Marathon | St Paul | Pre-Onsite Visit: Clarified PI vs. PHD architecture and suggested staging PI utilities post scope approval.</t>
        </is>
      </c>
      <c r="D2" t="inlineStr">
        <is>
          <t>Day-to-Day</t>
        </is>
      </c>
      <c r="E2" t="inlineStr">
        <is>
          <t>Low</t>
        </is>
      </c>
      <c r="F2" t="inlineStr"/>
      <c r="G2" t="inlineStr">
        <is>
          <t>Production</t>
        </is>
      </c>
    </row>
    <row r="3">
      <c r="A3" t="inlineStr">
        <is>
          <t>2025-10-09</t>
        </is>
      </c>
      <c r="B3" t="inlineStr">
        <is>
          <t>SIS/Triconex</t>
        </is>
      </c>
      <c r="C3" t="inlineStr">
        <is>
          <t>RE: HCU TMR Alarm: Referenced prior EDM training for pulling system faults; recommended shadowing for live troubleshooting.</t>
        </is>
      </c>
      <c r="D3" t="inlineStr">
        <is>
          <t>Unit Support</t>
        </is>
      </c>
      <c r="E3" t="inlineStr">
        <is>
          <t>Low</t>
        </is>
      </c>
      <c r="F3" t="inlineStr"/>
      <c r="G3" t="inlineStr">
        <is>
          <t>Safety</t>
        </is>
      </c>
    </row>
    <row r="4">
      <c r="A4" t="inlineStr">
        <is>
          <t>2025-10-21</t>
        </is>
      </c>
      <c r="B4" t="inlineStr">
        <is>
          <t>Experion/TPS</t>
        </is>
      </c>
      <c r="C4" t="inlineStr">
        <is>
          <t>FW: LARINT01 - Cannot create scheduled task: Documented export cadences (EXP/TPS) and reiterated scheduled task/batch needs for INT01.</t>
        </is>
      </c>
      <c r="D4" t="inlineStr">
        <is>
          <t>L1 Integrity, Legacy Modernization</t>
        </is>
      </c>
      <c r="E4" t="inlineStr">
        <is>
          <t>High</t>
        </is>
      </c>
      <c r="F4" t="inlineStr"/>
      <c r="G4" t="inlineStr">
        <is>
          <t>Low</t>
        </is>
      </c>
    </row>
    <row r="5">
      <c r="A5" t="inlineStr">
        <is>
          <t>2025-10-23</t>
        </is>
      </c>
      <c r="B5" t="inlineStr">
        <is>
          <t>GE/Woodward/Bently</t>
        </is>
      </c>
      <c r="C5" t="inlineStr">
        <is>
          <t>WCC 92 Power Distribution Card Failure: Initiated follow-up on power distribution card incident; noted spare strategy considerations.</t>
        </is>
      </c>
      <c r="D5" t="inlineStr">
        <is>
          <t>Unit Support</t>
        </is>
      </c>
      <c r="E5" t="inlineStr">
        <is>
          <t>Low</t>
        </is>
      </c>
      <c r="F5" t="inlineStr"/>
      <c r="G5" t="inlineStr">
        <is>
          <t>Compliance</t>
        </is>
      </c>
    </row>
    <row r="6">
      <c r="A6" t="inlineStr">
        <is>
          <t>2025-11-14</t>
        </is>
      </c>
      <c r="B6" t="inlineStr">
        <is>
          <t>Siemens PLC</t>
        </is>
      </c>
      <c r="C6" t="inlineStr"/>
      <c r="D6" t="inlineStr">
        <is>
          <t>Day-to-Day</t>
        </is>
      </c>
      <c r="E6" t="inlineStr">
        <is>
          <t>Moderate</t>
        </is>
      </c>
      <c r="F6" t="inlineStr"/>
      <c r="G6" t="inlineStr">
        <is>
          <t>Production</t>
        </is>
      </c>
    </row>
    <row r="7">
      <c r="A7" t="inlineStr">
        <is>
          <t>2025-12-02</t>
        </is>
      </c>
      <c r="B7" t="inlineStr">
        <is>
          <t>UPS/COM Alarm</t>
        </is>
      </c>
      <c r="C7" t="inlineStr"/>
      <c r="D7" t="inlineStr">
        <is>
          <t>Day-to-Day</t>
        </is>
      </c>
      <c r="E7" t="inlineStr">
        <is>
          <t>Moderate</t>
        </is>
      </c>
      <c r="F7" t="inlineStr"/>
      <c r="G7" t="inlineStr">
        <is>
          <t>Safety</t>
        </is>
      </c>
    </row>
    <row r="8">
      <c r="A8" t="inlineStr">
        <is>
          <t>2025-12-04</t>
        </is>
      </c>
      <c r="B8" t="inlineStr">
        <is>
          <t>APO/HAM</t>
        </is>
      </c>
      <c r="C8" t="inlineStr"/>
      <c r="D8" t="inlineStr">
        <is>
          <t>Day-to-Day</t>
        </is>
      </c>
      <c r="E8" t="inlineStr">
        <is>
          <t>Quick</t>
        </is>
      </c>
      <c r="F8" t="inlineStr"/>
      <c r="G8" t="inlineStr">
        <is>
          <t>Efficiency</t>
        </is>
      </c>
    </row>
    <row r="9">
      <c r="A9" t="inlineStr">
        <is>
          <t>2025-12-08</t>
        </is>
      </c>
      <c r="B9" t="inlineStr">
        <is>
          <t>Experion/TPS</t>
        </is>
      </c>
      <c r="C9" t="inlineStr">
        <is>
          <t>FW: Re: DSPPrime on TDC consoles: Shared dspprime/pntbld procedure to purge stale TDC points after cutover.</t>
        </is>
      </c>
      <c r="D9" t="inlineStr">
        <is>
          <t>Legacy Modernization</t>
        </is>
      </c>
      <c r="E9" t="inlineStr">
        <is>
          <t>Low</t>
        </is>
      </c>
      <c r="F9" t="inlineStr"/>
      <c r="G9" t="inlineStr">
        <is>
          <t>Low</t>
        </is>
      </c>
    </row>
    <row r="10">
      <c r="A10" t="inlineStr">
        <is>
          <t>2025-12-11</t>
        </is>
      </c>
      <c r="B10" t="inlineStr">
        <is>
          <t>PLC (Rockwell)</t>
        </is>
      </c>
      <c r="C10" t="inlineStr">
        <is>
          <t>FW: FCC System Alarm 11SPLC30AO: Analyzed polling performance vs. register gaps; requested change chronology around 12/3.</t>
        </is>
      </c>
      <c r="D10" t="inlineStr">
        <is>
          <t>Unit Support</t>
        </is>
      </c>
      <c r="E10" t="inlineStr">
        <is>
          <t>Low</t>
        </is>
      </c>
      <c r="F10" t="inlineStr"/>
      <c r="G10" t="inlineStr">
        <is>
          <t>Safety</t>
        </is>
      </c>
    </row>
    <row r="11">
      <c r="A11" t="inlineStr">
        <is>
          <t>2025-12-11</t>
        </is>
      </c>
      <c r="B11" t="inlineStr">
        <is>
          <t>Alarm Mgmt</t>
        </is>
      </c>
      <c r="C11" t="inlineStr">
        <is>
          <t>RE: APO 3.0 Installation: Raised L3/L4 edit constraints and CAR/PAR impacts; proposed template app/db servers and node rename procedure.</t>
        </is>
      </c>
      <c r="D11" t="inlineStr">
        <is>
          <t>Alarm Rationalization</t>
        </is>
      </c>
      <c r="E11" t="inlineStr">
        <is>
          <t>Low</t>
        </is>
      </c>
      <c r="F11" t="inlineStr"/>
      <c r="G11" t="inlineStr">
        <is>
          <t>Safety</t>
        </is>
      </c>
    </row>
    <row r="12">
      <c r="A12" t="inlineStr">
        <is>
          <t>2025-12-11</t>
        </is>
      </c>
      <c r="B12" t="inlineStr">
        <is>
          <t>Alarm Mgmt</t>
        </is>
      </c>
      <c r="C12" t="inlineStr">
        <is>
          <t>RE: Console / Dynamo: Explained suppression exposure vs. NTE reporting; reviewed specific NTE/level instruments.</t>
        </is>
      </c>
      <c r="D12" t="inlineStr">
        <is>
          <t>Alarm Rationalization</t>
        </is>
      </c>
      <c r="E12" t="inlineStr">
        <is>
          <t>Low</t>
        </is>
      </c>
      <c r="F12" t="inlineStr"/>
      <c r="G12" t="inlineStr">
        <is>
          <t>Safety</t>
        </is>
      </c>
    </row>
    <row r="13">
      <c r="A13" t="inlineStr">
        <is>
          <t>2025-12-11</t>
        </is>
      </c>
      <c r="B13" t="inlineStr">
        <is>
          <t>Alarm Mgmt</t>
        </is>
      </c>
      <c r="C13" t="inlineStr">
        <is>
          <t>RE: ETD_UTIL: Provided Tag Sync add/delete lists and reasoning for In-Progress versions created by scheduled jobs.</t>
        </is>
      </c>
      <c r="D13" t="inlineStr">
        <is>
          <t>Day-to-Day</t>
        </is>
      </c>
      <c r="E13" t="inlineStr">
        <is>
          <t>Low</t>
        </is>
      </c>
      <c r="F13" t="inlineStr"/>
      <c r="G13" t="inlineStr">
        <is>
          <t>Production</t>
        </is>
      </c>
    </row>
    <row r="14">
      <c r="A14" t="inlineStr">
        <is>
          <t>2025-12-11</t>
        </is>
      </c>
      <c r="B14" t="inlineStr">
        <is>
          <t>Experion/TPS</t>
        </is>
      </c>
      <c r="C14" t="inlineStr">
        <is>
          <t>RE: Significant issue with alarm discrepancies occurring between the servers and the consoles: Questioned BRM station role; supported EST rebuild plan and MOC path.</t>
        </is>
      </c>
      <c r="D14" t="inlineStr">
        <is>
          <t>Day-to-Day</t>
        </is>
      </c>
      <c r="E14" t="inlineStr">
        <is>
          <t>Medium</t>
        </is>
      </c>
      <c r="F14" t="inlineStr"/>
      <c r="G14" t="inlineStr">
        <is>
          <t>Safety</t>
        </is>
      </c>
    </row>
    <row r="15">
      <c r="A15" t="inlineStr">
        <is>
          <t>2025-12-14</t>
        </is>
      </c>
      <c r="B15" t="inlineStr">
        <is>
          <t>ACM/SCADA</t>
        </is>
      </c>
      <c r="C15" t="inlineStr"/>
      <c r="D15" t="inlineStr">
        <is>
          <t>Diagnostic</t>
        </is>
      </c>
      <c r="E15" t="inlineStr">
        <is>
          <t>Major</t>
        </is>
      </c>
      <c r="F15" t="inlineStr"/>
      <c r="G15" t="inlineStr">
        <is>
          <t>Safety</t>
        </is>
      </c>
    </row>
    <row r="16">
      <c r="A16" t="inlineStr">
        <is>
          <t>2025-12-16</t>
        </is>
      </c>
      <c r="B16" t="inlineStr">
        <is>
          <t>Alarm Mgmt</t>
        </is>
      </c>
      <c r="C16" t="inlineStr">
        <is>
          <t>SPW Dynamo Activities: Investigated bulk UnSuppress actions and audit behavior across TPS/Experion.</t>
        </is>
      </c>
      <c r="D16" t="inlineStr">
        <is>
          <t>Alarm Rationalization, Unit Support</t>
        </is>
      </c>
      <c r="E16" t="inlineStr">
        <is>
          <t>Low</t>
        </is>
      </c>
      <c r="F16" t="inlineStr"/>
      <c r="G16" t="inlineStr">
        <is>
          <t>Safety</t>
        </is>
      </c>
    </row>
    <row r="17">
      <c r="A17" t="inlineStr">
        <is>
          <t>2025-12-17</t>
        </is>
      </c>
      <c r="B17" t="inlineStr">
        <is>
          <t>Experion/TPS</t>
        </is>
      </c>
      <c r="C17" t="inlineStr">
        <is>
          <t>RE: LCN3 (ALKY) DCS Backup and Integrity Update: Coordinated D3K EC schedules and executed backups for Carson LCNs; requested enabling ECs on ENG stations.</t>
        </is>
      </c>
      <c r="D17" t="inlineStr">
        <is>
          <t>L1 Integrity, Alarm Rationalization, Unit Support</t>
        </is>
      </c>
      <c r="E17" t="inlineStr">
        <is>
          <t>Low</t>
        </is>
      </c>
      <c r="F17" t="inlineStr"/>
      <c r="G17" t="inlineStr">
        <is>
          <t>Efficiency</t>
        </is>
      </c>
    </row>
    <row r="18">
      <c r="A18" t="inlineStr">
        <is>
          <t>2025-12-19</t>
        </is>
      </c>
      <c r="B18" t="inlineStr">
        <is>
          <t>Experion/TPS</t>
        </is>
      </c>
      <c r="C18" t="inlineStr">
        <is>
          <t>RE: LCN4 17XA861 and 84UA822 chattering alarms: Clarified INHIBIT vs DISABLE parity for suppression reporting; tied to journaling load relief.</t>
        </is>
      </c>
      <c r="D18" t="inlineStr">
        <is>
          <t>Unit Support</t>
        </is>
      </c>
      <c r="E18" t="inlineStr">
        <is>
          <t>Medium</t>
        </is>
      </c>
      <c r="F18" t="inlineStr"/>
      <c r="G18" t="inlineStr">
        <is>
          <t>Safety</t>
        </is>
      </c>
    </row>
    <row r="19">
      <c r="A19" t="inlineStr">
        <is>
          <t>2025-12-29</t>
        </is>
      </c>
      <c r="B19" t="inlineStr">
        <is>
          <t>SIS/Triconex</t>
        </is>
      </c>
      <c r="C19" t="inlineStr">
        <is>
          <t>RE: Integrity TS1131 cannot view XPS: Pursued PDF-based workaround and asked for model changes (Aha!) to move away from XPS.</t>
        </is>
      </c>
      <c r="D19" t="inlineStr">
        <is>
          <t>L1 Integrity, Alarm Rationalization, Legacy Modernization</t>
        </is>
      </c>
      <c r="E19" t="inlineStr">
        <is>
          <t>High</t>
        </is>
      </c>
      <c r="F19" t="inlineStr"/>
      <c r="G19" t="inlineStr">
        <is>
          <t>Safety</t>
        </is>
      </c>
    </row>
    <row r="20">
      <c r="A20" t="inlineStr">
        <is>
          <t>2025-12-29</t>
        </is>
      </c>
      <c r="B20" t="inlineStr">
        <is>
          <t>Alarm Mgmt</t>
        </is>
      </c>
      <c r="C20" t="inlineStr">
        <is>
          <t>RE: ACM Secondary Parameter Update: Ran secondary parameter update to push QB description/alarm edits; reported per-tag outcomes.</t>
        </is>
      </c>
      <c r="D20" t="inlineStr">
        <is>
          <t>Alarm Rationalization</t>
        </is>
      </c>
      <c r="E20" t="inlineStr">
        <is>
          <t>Low</t>
        </is>
      </c>
      <c r="F20" t="inlineStr"/>
      <c r="G20" t="inlineStr">
        <is>
          <t>Safety</t>
        </is>
      </c>
    </row>
    <row r="21">
      <c r="A21" t="inlineStr">
        <is>
          <t>2025-12-29</t>
        </is>
      </c>
      <c r="B21" t="inlineStr">
        <is>
          <t>Alarm Mgmt</t>
        </is>
      </c>
      <c r="C21" t="inlineStr">
        <is>
          <t>RE: ALERT: ACM DB Replication Heartbeat not implemented or cannot be detected: Confirmed the replication/heartbeat condition self-recovered the following day.</t>
        </is>
      </c>
      <c r="D21" t="inlineStr">
        <is>
          <t>Alarm Rationalization</t>
        </is>
      </c>
      <c r="E21" t="inlineStr">
        <is>
          <t>High</t>
        </is>
      </c>
      <c r="F21" t="inlineStr"/>
      <c r="G21" t="inlineStr">
        <is>
          <t>Safety</t>
        </is>
      </c>
    </row>
    <row r="22">
      <c r="A22" t="inlineStr">
        <is>
          <t>2025-12-29</t>
        </is>
      </c>
      <c r="B22" t="inlineStr">
        <is>
          <t>Integrity (ALI)</t>
        </is>
      </c>
      <c r="C22" t="inlineStr">
        <is>
          <t>RE: Zip files transferred correctly as well: Verified transfer job execution from doublehop to INT01; set expectation on 8+ hour population.</t>
        </is>
      </c>
      <c r="D22" t="inlineStr">
        <is>
          <t>Day-to-Day</t>
        </is>
      </c>
      <c r="E22" t="inlineStr">
        <is>
          <t>Low</t>
        </is>
      </c>
      <c r="F22" t="inlineStr"/>
      <c r="G22" t="inlineStr">
        <is>
          <t>Low</t>
        </is>
      </c>
    </row>
    <row r="23">
      <c r="A23" t="inlineStr">
        <is>
          <t>2025-12-29</t>
        </is>
      </c>
      <c r="B23" t="inlineStr">
        <is>
          <t>Experion/TPS</t>
        </is>
      </c>
      <c r="C23" t="inlineStr">
        <is>
          <t>RE: UDC Agents: Tracked redeploys across ESV/EVT fleet; highlighted remaining problematic nodes for follow-up.</t>
        </is>
      </c>
      <c r="D23" t="inlineStr">
        <is>
          <t>L1 Integrity</t>
        </is>
      </c>
      <c r="E23" t="inlineStr">
        <is>
          <t>Low</t>
        </is>
      </c>
      <c r="F23" t="inlineStr"/>
      <c r="G23" t="inlineStr">
        <is>
          <t>Low</t>
        </is>
      </c>
    </row>
    <row r="24">
      <c r="A24" t="inlineStr">
        <is>
          <t>2025-12-31</t>
        </is>
      </c>
      <c r="B24" t="inlineStr">
        <is>
          <t>Experion/TPS</t>
        </is>
      </c>
      <c r="C24" t="inlineStr">
        <is>
          <t>RE: DAS 91DAS005: Chased missing SUPP events on DAS triggers; captured re-init actions; warned about server-wide alarm toggling.</t>
        </is>
      </c>
      <c r="D24" t="inlineStr">
        <is>
          <t>Day-to-Day</t>
        </is>
      </c>
      <c r="E24" t="inlineStr">
        <is>
          <t>Low</t>
        </is>
      </c>
      <c r="F24" t="inlineStr"/>
      <c r="G24" t="inlineStr">
        <is>
          <t>Safety</t>
        </is>
      </c>
    </row>
    <row r="25">
      <c r="A25" t="inlineStr">
        <is>
          <t>2025-12-31</t>
        </is>
      </c>
      <c r="B25" t="inlineStr">
        <is>
          <t>SIS/Triconex</t>
        </is>
      </c>
      <c r="C25" t="inlineStr">
        <is>
          <t>RE: Trident DI Issues - LOV: Pointed to CyberIntegrity inventory capability; noted current limitations in TRX component breakdown.</t>
        </is>
      </c>
      <c r="D25" t="inlineStr">
        <is>
          <t>L1 Integrity, Alarm Rationalization</t>
        </is>
      </c>
      <c r="E25" t="inlineStr">
        <is>
          <t>Low</t>
        </is>
      </c>
      <c r="F25" t="inlineStr"/>
      <c r="G25" t="inlineStr">
        <is>
          <t>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2026-01-25T01:36:15Z</dcterms:created>
  <dcterms:modified xmlns:dcterms="http://purl.org/dc/terms/" xmlns:xsi="http://www.w3.org/2001/XMLSchema-instance" xsi:type="dcterms:W3CDTF">2026-01-25T01:36:15Z</dcterms:modified>
</cp:coreProperties>
</file>