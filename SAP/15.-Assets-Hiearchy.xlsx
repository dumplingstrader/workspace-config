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exmet.sharepoint.com/sites/EXTERNAL2025-MarathonCyberandAutomationImplementation-LAR/Shared Documents/LAR - Los Angeles CA/Asset hierarchy/"/>
    </mc:Choice>
  </mc:AlternateContent>
  <xr:revisionPtr revIDLastSave="75" documentId="8_{DFDDFEF4-CDB1-4764-B358-D8B394D2B28C}" xr6:coauthVersionLast="47" xr6:coauthVersionMax="47" xr10:uidLastSave="{16365FDC-6E78-4A05-B5F5-D4A6E7F25FA1}"/>
  <bookViews>
    <workbookView xWindow="-120" yWindow="-120" windowWidth="29040" windowHeight="17520" activeTab="1" xr2:uid="{44D08E25-732D-41B8-B5A5-28210FCFCCC0}"/>
  </bookViews>
  <sheets>
    <sheet name="Instructions" sheetId="4" r:id="rId1"/>
    <sheet name="Assets" sheetId="1" r:id="rId2"/>
    <sheet name="Sheet1" sheetId="5" r:id="rId3"/>
    <sheet name="Look Table" sheetId="3" r:id="rId4"/>
    <sheet name="Selections" sheetId="2" r:id="rId5"/>
  </sheets>
  <externalReferences>
    <externalReference r:id="rId6"/>
    <externalReference r:id="rId7"/>
  </externalReferences>
  <definedNames>
    <definedName name="_xlnm._FilterDatabase" localSheetId="1" hidden="1">Assets!#REF!</definedName>
    <definedName name="_xlnm._FilterDatabase" localSheetId="3" hidden="1">'Look Table'!$A$1:$E$1</definedName>
    <definedName name="APC">Selections!$N$3:$N$9</definedName>
    <definedName name="AssetType">Selections!$A$3:$A$16</definedName>
    <definedName name="DCS">Selections!$C$3:$C$18</definedName>
    <definedName name="Historian">Selections!$O$3:$O$5</definedName>
    <definedName name="HMI">Selections!$P$3:$P$5</definedName>
    <definedName name="ManualInventory">Selections!$D$3</definedName>
    <definedName name="MISC">Selections!$E$3:$E$11</definedName>
    <definedName name="NetworkDevices">Selections!$F$3:$F$4</definedName>
    <definedName name="PLC">Selections!$G$3:$G$14</definedName>
    <definedName name="RTU">Selections!$I$3</definedName>
    <definedName name="SCADA">Selections!$J$3:$J$4</definedName>
    <definedName name="SIS">Selections!$K$3:$K$10</definedName>
    <definedName name="TCS">Selections!$L$3:$L$5</definedName>
    <definedName name="VMS">Selections!$M$3</definedName>
    <definedName name="WindowsDevices">Selections!$H$3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1" l="1"/>
  <c r="H105" i="1"/>
  <c r="H104" i="1"/>
  <c r="H103" i="1"/>
  <c r="H66" i="1"/>
  <c r="H65" i="1"/>
  <c r="H64" i="1"/>
  <c r="H63" i="1"/>
  <c r="H62" i="1"/>
  <c r="J4" i="1" l="1"/>
  <c r="J5" i="1"/>
  <c r="J6" i="1"/>
  <c r="K6" i="1" s="1"/>
  <c r="L6" i="1" s="1"/>
  <c r="J7" i="1"/>
  <c r="J8" i="1"/>
  <c r="K8" i="1" s="1"/>
  <c r="L8" i="1" s="1"/>
  <c r="J9" i="1"/>
  <c r="K9" i="1" s="1"/>
  <c r="L9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J16" i="1"/>
  <c r="J17" i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62" i="1"/>
  <c r="K62" i="1" s="1"/>
  <c r="L62" i="1" s="1"/>
  <c r="J63" i="1"/>
  <c r="K63" i="1" s="1"/>
  <c r="L63" i="1" s="1"/>
  <c r="J64" i="1"/>
  <c r="K64" i="1" s="1"/>
  <c r="L64" i="1" s="1"/>
  <c r="J65" i="1"/>
  <c r="K65" i="1" s="1"/>
  <c r="L65" i="1" s="1"/>
  <c r="J66" i="1"/>
  <c r="K66" i="1" s="1"/>
  <c r="L66" i="1" s="1"/>
  <c r="J103" i="1"/>
  <c r="K103" i="1" s="1"/>
  <c r="L103" i="1" s="1"/>
  <c r="J104" i="1"/>
  <c r="K104" i="1" s="1"/>
  <c r="L104" i="1" s="1"/>
  <c r="J105" i="1"/>
  <c r="K105" i="1" s="1"/>
  <c r="L105" i="1" s="1"/>
  <c r="J67" i="1"/>
  <c r="J68" i="1"/>
  <c r="J69" i="1"/>
  <c r="J70" i="1"/>
  <c r="J98" i="1"/>
  <c r="K98" i="1" s="1"/>
  <c r="L98" i="1" s="1"/>
  <c r="J99" i="1"/>
  <c r="K99" i="1" s="1"/>
  <c r="L99" i="1" s="1"/>
  <c r="J100" i="1"/>
  <c r="K100" i="1" s="1"/>
  <c r="L100" i="1" s="1"/>
  <c r="J101" i="1"/>
  <c r="K101" i="1" s="1"/>
  <c r="L101" i="1" s="1"/>
  <c r="J102" i="1"/>
  <c r="K102" i="1" s="1"/>
  <c r="L102" i="1" s="1"/>
  <c r="J28" i="1"/>
  <c r="J29" i="1"/>
  <c r="J39" i="1"/>
  <c r="J40" i="1"/>
  <c r="J41" i="1"/>
  <c r="J42" i="1"/>
  <c r="J71" i="1"/>
  <c r="J30" i="1"/>
  <c r="J31" i="1"/>
  <c r="J43" i="1"/>
  <c r="J72" i="1"/>
  <c r="J73" i="1"/>
  <c r="J74" i="1"/>
  <c r="J75" i="1"/>
  <c r="J76" i="1"/>
  <c r="J32" i="1"/>
  <c r="J33" i="1"/>
  <c r="J77" i="1"/>
  <c r="J44" i="1"/>
  <c r="J45" i="1"/>
  <c r="J46" i="1"/>
  <c r="J47" i="1"/>
  <c r="J34" i="1"/>
  <c r="J48" i="1"/>
  <c r="J35" i="1"/>
  <c r="J49" i="1"/>
  <c r="J50" i="1"/>
  <c r="J51" i="1"/>
  <c r="J36" i="1"/>
  <c r="J37" i="1"/>
  <c r="J52" i="1"/>
  <c r="J38" i="1"/>
  <c r="J78" i="1"/>
  <c r="J79" i="1"/>
  <c r="J80" i="1"/>
  <c r="J81" i="1"/>
  <c r="J53" i="1"/>
  <c r="J54" i="1"/>
  <c r="J55" i="1"/>
  <c r="J56" i="1"/>
  <c r="J57" i="1"/>
  <c r="J58" i="1"/>
  <c r="J59" i="1"/>
  <c r="J60" i="1"/>
  <c r="J6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106" i="1"/>
  <c r="J107" i="1"/>
  <c r="K107" i="1" s="1"/>
  <c r="L107" i="1" s="1"/>
  <c r="J108" i="1"/>
  <c r="J109" i="1"/>
  <c r="J110" i="1"/>
  <c r="K110" i="1" s="1"/>
  <c r="L110" i="1" s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K131" i="1" s="1"/>
  <c r="L131" i="1" s="1"/>
  <c r="J132" i="1"/>
  <c r="K132" i="1" s="1"/>
  <c r="L132" i="1" s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K163" i="1" s="1"/>
  <c r="L163" i="1" s="1"/>
  <c r="J164" i="1"/>
  <c r="J165" i="1"/>
  <c r="K165" i="1" s="1"/>
  <c r="L165" i="1" s="1"/>
  <c r="J166" i="1"/>
  <c r="K166" i="1" s="1"/>
  <c r="L166" i="1" s="1"/>
  <c r="J167" i="1"/>
  <c r="K167" i="1" s="1"/>
  <c r="L167" i="1" s="1"/>
  <c r="J168" i="1"/>
  <c r="K168" i="1" s="1"/>
  <c r="L168" i="1" s="1"/>
  <c r="J169" i="1"/>
  <c r="K169" i="1" s="1"/>
  <c r="L169" i="1" s="1"/>
  <c r="J170" i="1"/>
  <c r="J171" i="1"/>
  <c r="K171" i="1" s="1"/>
  <c r="L171" i="1" s="1"/>
  <c r="J172" i="1"/>
  <c r="J174" i="1"/>
  <c r="K174" i="1" s="1"/>
  <c r="L174" i="1" s="1"/>
  <c r="J175" i="1"/>
  <c r="K175" i="1" s="1"/>
  <c r="L175" i="1" s="1"/>
  <c r="J181" i="1"/>
  <c r="K181" i="1" s="1"/>
  <c r="L181" i="1" s="1"/>
  <c r="J176" i="1"/>
  <c r="K176" i="1" s="1"/>
  <c r="L176" i="1" s="1"/>
  <c r="J177" i="1"/>
  <c r="K177" i="1" s="1"/>
  <c r="L177" i="1" s="1"/>
  <c r="J178" i="1"/>
  <c r="K178" i="1" s="1"/>
  <c r="L178" i="1" s="1"/>
  <c r="J179" i="1"/>
  <c r="K179" i="1" s="1"/>
  <c r="L179" i="1" s="1"/>
  <c r="J180" i="1"/>
  <c r="K180" i="1" s="1"/>
  <c r="L180" i="1" s="1"/>
  <c r="J182" i="1"/>
  <c r="J183" i="1"/>
  <c r="J200" i="1"/>
  <c r="J201" i="1"/>
  <c r="K201" i="1" s="1"/>
  <c r="L201" i="1" s="1"/>
  <c r="J202" i="1"/>
  <c r="J203" i="1"/>
  <c r="K203" i="1" s="1"/>
  <c r="L203" i="1" s="1"/>
  <c r="J184" i="1"/>
  <c r="J185" i="1"/>
  <c r="J186" i="1"/>
  <c r="J173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K332" i="1" s="1"/>
  <c r="L332" i="1" s="1"/>
  <c r="J333" i="1"/>
  <c r="J335" i="1"/>
  <c r="J334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K382" i="1" s="1"/>
  <c r="L382" i="1" s="1"/>
  <c r="J383" i="1"/>
  <c r="K383" i="1" s="1"/>
  <c r="L383" i="1" s="1"/>
  <c r="J384" i="1"/>
  <c r="K384" i="1" s="1"/>
  <c r="L384" i="1" s="1"/>
  <c r="J3" i="1"/>
  <c r="H291" i="1"/>
  <c r="G291" i="1"/>
  <c r="H335" i="1"/>
  <c r="G335" i="1"/>
  <c r="H336" i="1"/>
  <c r="G336" i="1"/>
  <c r="H334" i="1"/>
  <c r="G334" i="1"/>
  <c r="H97" i="1"/>
  <c r="G97" i="1"/>
  <c r="H158" i="1"/>
  <c r="G158" i="1"/>
  <c r="H157" i="1"/>
  <c r="G157" i="1"/>
  <c r="H199" i="1"/>
  <c r="G199" i="1"/>
  <c r="H156" i="1"/>
  <c r="G156" i="1"/>
  <c r="H96" i="1"/>
  <c r="G96" i="1"/>
  <c r="H95" i="1"/>
  <c r="G95" i="1"/>
  <c r="H155" i="1"/>
  <c r="G155" i="1"/>
  <c r="H154" i="1"/>
  <c r="G154" i="1"/>
  <c r="H198" i="1"/>
  <c r="G198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197" i="1"/>
  <c r="G197" i="1"/>
  <c r="H86" i="1"/>
  <c r="G86" i="1"/>
  <c r="H196" i="1"/>
  <c r="G196" i="1"/>
  <c r="H85" i="1"/>
  <c r="G85" i="1"/>
  <c r="H195" i="1"/>
  <c r="G195" i="1"/>
  <c r="H194" i="1"/>
  <c r="G194" i="1"/>
  <c r="H193" i="1"/>
  <c r="G193" i="1"/>
  <c r="H192" i="1"/>
  <c r="G192" i="1"/>
  <c r="H84" i="1"/>
  <c r="G84" i="1"/>
  <c r="H83" i="1"/>
  <c r="G83" i="1"/>
  <c r="H82" i="1"/>
  <c r="G82" i="1"/>
  <c r="H153" i="1"/>
  <c r="G153" i="1"/>
  <c r="H191" i="1"/>
  <c r="G191" i="1"/>
  <c r="H152" i="1"/>
  <c r="G15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190" i="1"/>
  <c r="G190" i="1"/>
  <c r="H189" i="1"/>
  <c r="G189" i="1"/>
  <c r="H188" i="1"/>
  <c r="G188" i="1"/>
  <c r="H81" i="1"/>
  <c r="G81" i="1"/>
  <c r="H80" i="1"/>
  <c r="G80" i="1"/>
  <c r="H187" i="1"/>
  <c r="G187" i="1"/>
  <c r="H79" i="1"/>
  <c r="G79" i="1"/>
  <c r="H78" i="1"/>
  <c r="G78" i="1"/>
  <c r="H38" i="1"/>
  <c r="G38" i="1"/>
  <c r="H151" i="1"/>
  <c r="G151" i="1"/>
  <c r="H52" i="1"/>
  <c r="G52" i="1"/>
  <c r="H37" i="1"/>
  <c r="G37" i="1"/>
  <c r="H36" i="1"/>
  <c r="G36" i="1"/>
  <c r="H150" i="1"/>
  <c r="G150" i="1"/>
  <c r="H173" i="1"/>
  <c r="G173" i="1"/>
  <c r="H186" i="1"/>
  <c r="G186" i="1"/>
  <c r="H185" i="1"/>
  <c r="G185" i="1"/>
  <c r="H184" i="1"/>
  <c r="G184" i="1"/>
  <c r="H51" i="1"/>
  <c r="G51" i="1"/>
  <c r="H50" i="1"/>
  <c r="G50" i="1"/>
  <c r="H49" i="1"/>
  <c r="G49" i="1"/>
  <c r="H35" i="1"/>
  <c r="G35" i="1"/>
  <c r="H149" i="1"/>
  <c r="G149" i="1"/>
  <c r="H48" i="1"/>
  <c r="G48" i="1"/>
  <c r="H34" i="1"/>
  <c r="G34" i="1"/>
  <c r="H47" i="1"/>
  <c r="G47" i="1"/>
  <c r="H46" i="1"/>
  <c r="G46" i="1"/>
  <c r="H148" i="1"/>
  <c r="G148" i="1"/>
  <c r="H147" i="1"/>
  <c r="G147" i="1"/>
  <c r="H146" i="1"/>
  <c r="G146" i="1"/>
  <c r="H45" i="1"/>
  <c r="G45" i="1"/>
  <c r="H145" i="1"/>
  <c r="G145" i="1"/>
  <c r="H44" i="1"/>
  <c r="G44" i="1"/>
  <c r="H144" i="1"/>
  <c r="G144" i="1"/>
  <c r="H77" i="1"/>
  <c r="G77" i="1"/>
  <c r="H143" i="1"/>
  <c r="G143" i="1"/>
  <c r="H142" i="1"/>
  <c r="G142" i="1"/>
  <c r="H141" i="1"/>
  <c r="G141" i="1"/>
  <c r="H33" i="1"/>
  <c r="G33" i="1"/>
  <c r="H32" i="1"/>
  <c r="G32" i="1"/>
  <c r="H140" i="1"/>
  <c r="G140" i="1"/>
  <c r="H139" i="1"/>
  <c r="G139" i="1"/>
  <c r="H76" i="1"/>
  <c r="G76" i="1"/>
  <c r="H75" i="1"/>
  <c r="G75" i="1"/>
  <c r="H74" i="1"/>
  <c r="G74" i="1"/>
  <c r="H73" i="1"/>
  <c r="G73" i="1"/>
  <c r="H72" i="1"/>
  <c r="G72" i="1"/>
  <c r="H138" i="1"/>
  <c r="G138" i="1"/>
  <c r="H43" i="1"/>
  <c r="G43" i="1"/>
  <c r="H31" i="1"/>
  <c r="G31" i="1"/>
  <c r="H30" i="1"/>
  <c r="G30" i="1"/>
  <c r="H137" i="1"/>
  <c r="G137" i="1"/>
  <c r="H136" i="1"/>
  <c r="G136" i="1"/>
  <c r="H135" i="1"/>
  <c r="G135" i="1"/>
  <c r="H71" i="1"/>
  <c r="G71" i="1"/>
  <c r="H42" i="1"/>
  <c r="G42" i="1"/>
  <c r="H41" i="1"/>
  <c r="G41" i="1"/>
  <c r="H40" i="1"/>
  <c r="G40" i="1"/>
  <c r="H39" i="1"/>
  <c r="G39" i="1"/>
  <c r="H29" i="1"/>
  <c r="G29" i="1"/>
  <c r="H28" i="1"/>
  <c r="G28" i="1"/>
  <c r="H134" i="1"/>
  <c r="G134" i="1"/>
  <c r="H301" i="1"/>
  <c r="H293" i="1"/>
  <c r="H302" i="1"/>
  <c r="H7" i="1"/>
  <c r="G7" i="1"/>
  <c r="K75" i="1" l="1"/>
  <c r="L75" i="1" s="1"/>
  <c r="M75" i="1" s="1"/>
  <c r="K94" i="1"/>
  <c r="L94" i="1" s="1"/>
  <c r="M94" i="1" s="1"/>
  <c r="K147" i="1"/>
  <c r="L147" i="1" s="1"/>
  <c r="M147" i="1" s="1"/>
  <c r="K291" i="1"/>
  <c r="L291" i="1" s="1"/>
  <c r="M291" i="1" s="1"/>
  <c r="K38" i="1"/>
  <c r="L38" i="1" s="1"/>
  <c r="M38" i="1" s="1"/>
  <c r="K192" i="1"/>
  <c r="L192" i="1" s="1"/>
  <c r="M192" i="1" s="1"/>
  <c r="K91" i="1"/>
  <c r="L91" i="1" s="1"/>
  <c r="M91" i="1" s="1"/>
  <c r="K301" i="1"/>
  <c r="L301" i="1" s="1"/>
  <c r="M301" i="1" s="1"/>
  <c r="K57" i="1"/>
  <c r="L57" i="1" s="1"/>
  <c r="M57" i="1" s="1"/>
  <c r="K42" i="1"/>
  <c r="L42" i="1" s="1"/>
  <c r="M42" i="1" s="1"/>
  <c r="K71" i="1"/>
  <c r="L71" i="1" s="1"/>
  <c r="M71" i="1" s="1"/>
  <c r="K93" i="1"/>
  <c r="L93" i="1" s="1"/>
  <c r="M93" i="1" s="1"/>
  <c r="K195" i="1"/>
  <c r="L195" i="1" s="1"/>
  <c r="M195" i="1" s="1"/>
  <c r="K76" i="1"/>
  <c r="L76" i="1" s="1"/>
  <c r="M76" i="1" s="1"/>
  <c r="K50" i="1"/>
  <c r="L50" i="1" s="1"/>
  <c r="M50" i="1" s="1"/>
  <c r="K173" i="1"/>
  <c r="L173" i="1" s="1"/>
  <c r="M173" i="1" s="1"/>
  <c r="K142" i="1"/>
  <c r="L142" i="1" s="1"/>
  <c r="M142" i="1" s="1"/>
  <c r="K86" i="1"/>
  <c r="L86" i="1" s="1"/>
  <c r="M86" i="1" s="1"/>
  <c r="K49" i="1"/>
  <c r="K29" i="1"/>
  <c r="K194" i="1"/>
  <c r="L194" i="1" s="1"/>
  <c r="M194" i="1" s="1"/>
  <c r="K334" i="1"/>
  <c r="K43" i="1"/>
  <c r="L43" i="1" s="1"/>
  <c r="M43" i="1" s="1"/>
  <c r="K153" i="1"/>
  <c r="L153" i="1" s="1"/>
  <c r="M153" i="1" s="1"/>
  <c r="K35" i="1"/>
  <c r="L35" i="1" s="1"/>
  <c r="M35" i="1" s="1"/>
  <c r="K84" i="1"/>
  <c r="K48" i="1"/>
  <c r="K37" i="1"/>
  <c r="L37" i="1" s="1"/>
  <c r="K53" i="1"/>
  <c r="K156" i="1"/>
  <c r="K83" i="1"/>
  <c r="K79" i="1"/>
  <c r="K96" i="1"/>
  <c r="K72" i="1"/>
  <c r="K149" i="1"/>
  <c r="K54" i="1"/>
  <c r="K199" i="1"/>
  <c r="K45" i="1"/>
  <c r="L45" i="1" s="1"/>
  <c r="M45" i="1" s="1"/>
  <c r="K190" i="1"/>
  <c r="L190" i="1" s="1"/>
  <c r="M190" i="1" s="1"/>
  <c r="K77" i="1"/>
  <c r="K52" i="1"/>
  <c r="L52" i="1" s="1"/>
  <c r="M52" i="1" s="1"/>
  <c r="K73" i="1"/>
  <c r="L73" i="1" s="1"/>
  <c r="M73" i="1" s="1"/>
  <c r="K151" i="1"/>
  <c r="L151" i="1" s="1"/>
  <c r="M151" i="1" s="1"/>
  <c r="K55" i="1"/>
  <c r="L55" i="1" s="1"/>
  <c r="M55" i="1" s="1"/>
  <c r="K90" i="1"/>
  <c r="L90" i="1" s="1"/>
  <c r="M90" i="1" s="1"/>
  <c r="K157" i="1"/>
  <c r="K134" i="1"/>
  <c r="K31" i="1"/>
  <c r="K47" i="1"/>
  <c r="K150" i="1"/>
  <c r="K191" i="1"/>
  <c r="L191" i="1" s="1"/>
  <c r="M191" i="1" s="1"/>
  <c r="K197" i="1"/>
  <c r="L197" i="1" s="1"/>
  <c r="M197" i="1" s="1"/>
  <c r="K95" i="1"/>
  <c r="K143" i="1"/>
  <c r="K87" i="1"/>
  <c r="K39" i="1"/>
  <c r="K58" i="1"/>
  <c r="L58" i="1" s="1"/>
  <c r="M58" i="1" s="1"/>
  <c r="K138" i="1"/>
  <c r="K28" i="1"/>
  <c r="K34" i="1"/>
  <c r="K33" i="1"/>
  <c r="K155" i="1"/>
  <c r="K189" i="1"/>
  <c r="K145" i="1"/>
  <c r="K89" i="1"/>
  <c r="K36" i="1"/>
  <c r="K41" i="1"/>
  <c r="K141" i="1"/>
  <c r="L141" i="1" s="1"/>
  <c r="M141" i="1" s="1"/>
  <c r="K82" i="1"/>
  <c r="L82" i="1" s="1"/>
  <c r="M82" i="1" s="1"/>
  <c r="K59" i="1"/>
  <c r="K302" i="1"/>
  <c r="L302" i="1" s="1"/>
  <c r="M302" i="1" s="1"/>
  <c r="K30" i="1"/>
  <c r="K46" i="1"/>
  <c r="K152" i="1"/>
  <c r="K188" i="1"/>
  <c r="K144" i="1"/>
  <c r="K88" i="1"/>
  <c r="L88" i="1" s="1"/>
  <c r="M88" i="1" s="1"/>
  <c r="K51" i="1"/>
  <c r="K40" i="1"/>
  <c r="K74" i="1"/>
  <c r="K44" i="1"/>
  <c r="K7" i="1"/>
  <c r="L7" i="1" s="1"/>
  <c r="K56" i="1"/>
  <c r="K158" i="1"/>
  <c r="K78" i="1"/>
  <c r="K193" i="1"/>
  <c r="K92" i="1"/>
  <c r="K97" i="1"/>
  <c r="K135" i="1"/>
  <c r="K136" i="1"/>
  <c r="K140" i="1"/>
  <c r="L140" i="1" s="1"/>
  <c r="M140" i="1" s="1"/>
  <c r="K185" i="1"/>
  <c r="K60" i="1"/>
  <c r="K198" i="1"/>
  <c r="K32" i="1"/>
  <c r="K139" i="1"/>
  <c r="L139" i="1" s="1"/>
  <c r="M139" i="1" s="1"/>
  <c r="K184" i="1"/>
  <c r="K146" i="1"/>
  <c r="K187" i="1"/>
  <c r="K336" i="1"/>
  <c r="K80" i="1"/>
  <c r="K85" i="1"/>
  <c r="K335" i="1"/>
  <c r="L335" i="1" s="1"/>
  <c r="M335" i="1" s="1"/>
  <c r="K293" i="1"/>
  <c r="L293" i="1" s="1"/>
  <c r="M293" i="1" s="1"/>
  <c r="K137" i="1"/>
  <c r="K148" i="1"/>
  <c r="K186" i="1"/>
  <c r="L186" i="1" s="1"/>
  <c r="M186" i="1" s="1"/>
  <c r="K81" i="1"/>
  <c r="K61" i="1"/>
  <c r="K196" i="1"/>
  <c r="L196" i="1" s="1"/>
  <c r="M196" i="1" s="1"/>
  <c r="K154" i="1"/>
  <c r="M37" i="1"/>
  <c r="M6" i="1"/>
  <c r="M180" i="1"/>
  <c r="M179" i="1"/>
  <c r="M171" i="1"/>
  <c r="M177" i="1"/>
  <c r="H348" i="1"/>
  <c r="G348" i="1"/>
  <c r="H320" i="1"/>
  <c r="G320" i="1"/>
  <c r="H323" i="1"/>
  <c r="G323" i="1"/>
  <c r="H322" i="1"/>
  <c r="G322" i="1"/>
  <c r="H321" i="1"/>
  <c r="G321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77" i="1"/>
  <c r="G377" i="1"/>
  <c r="H376" i="1"/>
  <c r="G376" i="1"/>
  <c r="H368" i="1"/>
  <c r="G368" i="1"/>
  <c r="H370" i="1"/>
  <c r="G370" i="1"/>
  <c r="H369" i="1"/>
  <c r="G369" i="1"/>
  <c r="H367" i="1"/>
  <c r="G367" i="1"/>
  <c r="H366" i="1"/>
  <c r="G366" i="1"/>
  <c r="H365" i="1"/>
  <c r="G365" i="1"/>
  <c r="H364" i="1"/>
  <c r="G364" i="1"/>
  <c r="H363" i="1"/>
  <c r="G363" i="1"/>
  <c r="K363" i="1" s="1"/>
  <c r="L363" i="1" s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0" i="1"/>
  <c r="G350" i="1"/>
  <c r="H349" i="1"/>
  <c r="G349" i="1"/>
  <c r="H347" i="1"/>
  <c r="G347" i="1"/>
  <c r="H342" i="1"/>
  <c r="G342" i="1"/>
  <c r="K342" i="1" s="1"/>
  <c r="L342" i="1" s="1"/>
  <c r="H341" i="1"/>
  <c r="G341" i="1"/>
  <c r="H340" i="1"/>
  <c r="G340" i="1"/>
  <c r="H339" i="1"/>
  <c r="G339" i="1"/>
  <c r="H338" i="1"/>
  <c r="G338" i="1"/>
  <c r="H337" i="1"/>
  <c r="G337" i="1"/>
  <c r="K369" i="1" l="1"/>
  <c r="L369" i="1" s="1"/>
  <c r="K321" i="1"/>
  <c r="L321" i="1" s="1"/>
  <c r="M321" i="1" s="1"/>
  <c r="K354" i="1"/>
  <c r="L354" i="1" s="1"/>
  <c r="K322" i="1"/>
  <c r="L322" i="1" s="1"/>
  <c r="M322" i="1" s="1"/>
  <c r="K319" i="1"/>
  <c r="L319" i="1" s="1"/>
  <c r="M319" i="1" s="1"/>
  <c r="K370" i="1"/>
  <c r="L370" i="1" s="1"/>
  <c r="K323" i="1"/>
  <c r="L323" i="1" s="1"/>
  <c r="M323" i="1" s="1"/>
  <c r="K367" i="1"/>
  <c r="L367" i="1" s="1"/>
  <c r="K356" i="1"/>
  <c r="L356" i="1" s="1"/>
  <c r="K376" i="1"/>
  <c r="L376" i="1" s="1"/>
  <c r="K358" i="1"/>
  <c r="L358" i="1" s="1"/>
  <c r="K338" i="1"/>
  <c r="L338" i="1" s="1"/>
  <c r="M338" i="1" s="1"/>
  <c r="K355" i="1"/>
  <c r="L355" i="1" s="1"/>
  <c r="L150" i="1"/>
  <c r="M150" i="1" s="1"/>
  <c r="L84" i="1"/>
  <c r="M84" i="1" s="1"/>
  <c r="L46" i="1"/>
  <c r="M46" i="1" s="1"/>
  <c r="L198" i="1"/>
  <c r="M198" i="1" s="1"/>
  <c r="L59" i="1"/>
  <c r="M59" i="1" s="1"/>
  <c r="L60" i="1"/>
  <c r="M60" i="1" s="1"/>
  <c r="L185" i="1"/>
  <c r="M185" i="1" s="1"/>
  <c r="L29" i="1"/>
  <c r="M29" i="1" s="1"/>
  <c r="L41" i="1"/>
  <c r="M41" i="1" s="1"/>
  <c r="L49" i="1"/>
  <c r="M49" i="1" s="1"/>
  <c r="L136" i="1"/>
  <c r="M136" i="1" s="1"/>
  <c r="L36" i="1"/>
  <c r="M36" i="1" s="1"/>
  <c r="L135" i="1"/>
  <c r="M135" i="1" s="1"/>
  <c r="L89" i="1"/>
  <c r="M89" i="1" s="1"/>
  <c r="L97" i="1"/>
  <c r="M97" i="1" s="1"/>
  <c r="L145" i="1"/>
  <c r="M145" i="1" s="1"/>
  <c r="L77" i="1"/>
  <c r="M77" i="1" s="1"/>
  <c r="L154" i="1"/>
  <c r="M154" i="1" s="1"/>
  <c r="L92" i="1"/>
  <c r="M92" i="1" s="1"/>
  <c r="L189" i="1"/>
  <c r="M189" i="1" s="1"/>
  <c r="L184" i="1"/>
  <c r="M184" i="1" s="1"/>
  <c r="L152" i="1"/>
  <c r="M152" i="1" s="1"/>
  <c r="L334" i="1"/>
  <c r="M334" i="1" s="1"/>
  <c r="L193" i="1"/>
  <c r="M193" i="1" s="1"/>
  <c r="L155" i="1"/>
  <c r="M155" i="1" s="1"/>
  <c r="L61" i="1"/>
  <c r="M61" i="1" s="1"/>
  <c r="L78" i="1"/>
  <c r="M78" i="1" s="1"/>
  <c r="L33" i="1"/>
  <c r="M33" i="1" s="1"/>
  <c r="L199" i="1"/>
  <c r="M199" i="1" s="1"/>
  <c r="L81" i="1"/>
  <c r="M81" i="1" s="1"/>
  <c r="L158" i="1"/>
  <c r="M158" i="1" s="1"/>
  <c r="L34" i="1"/>
  <c r="M34" i="1" s="1"/>
  <c r="L54" i="1"/>
  <c r="M54" i="1" s="1"/>
  <c r="L56" i="1"/>
  <c r="M56" i="1" s="1"/>
  <c r="L28" i="1"/>
  <c r="M28" i="1" s="1"/>
  <c r="L149" i="1"/>
  <c r="M149" i="1" s="1"/>
  <c r="L148" i="1"/>
  <c r="M148" i="1" s="1"/>
  <c r="L138" i="1"/>
  <c r="M138" i="1" s="1"/>
  <c r="L72" i="1"/>
  <c r="M72" i="1" s="1"/>
  <c r="L48" i="1"/>
  <c r="M48" i="1" s="1"/>
  <c r="L47" i="1"/>
  <c r="M47" i="1" s="1"/>
  <c r="L30" i="1"/>
  <c r="M30" i="1" s="1"/>
  <c r="L188" i="1"/>
  <c r="M188" i="1" s="1"/>
  <c r="L187" i="1"/>
  <c r="M187" i="1" s="1"/>
  <c r="L146" i="1"/>
  <c r="M146" i="1" s="1"/>
  <c r="K350" i="1"/>
  <c r="L350" i="1" s="1"/>
  <c r="M350" i="1" s="1"/>
  <c r="L31" i="1"/>
  <c r="M31" i="1" s="1"/>
  <c r="L32" i="1"/>
  <c r="M32" i="1" s="1"/>
  <c r="L134" i="1"/>
  <c r="M134" i="1" s="1"/>
  <c r="L157" i="1"/>
  <c r="M157" i="1" s="1"/>
  <c r="L137" i="1"/>
  <c r="M137" i="1" s="1"/>
  <c r="L44" i="1"/>
  <c r="M44" i="1" s="1"/>
  <c r="L96" i="1"/>
  <c r="M96" i="1" s="1"/>
  <c r="L74" i="1"/>
  <c r="M74" i="1" s="1"/>
  <c r="L39" i="1"/>
  <c r="M39" i="1" s="1"/>
  <c r="L79" i="1"/>
  <c r="M79" i="1" s="1"/>
  <c r="L40" i="1"/>
  <c r="M40" i="1" s="1"/>
  <c r="L87" i="1"/>
  <c r="M87" i="1" s="1"/>
  <c r="L83" i="1"/>
  <c r="M83" i="1" s="1"/>
  <c r="L85" i="1"/>
  <c r="M85" i="1" s="1"/>
  <c r="L51" i="1"/>
  <c r="M51" i="1" s="1"/>
  <c r="L143" i="1"/>
  <c r="M143" i="1" s="1"/>
  <c r="L156" i="1"/>
  <c r="M156" i="1" s="1"/>
  <c r="L80" i="1"/>
  <c r="M80" i="1" s="1"/>
  <c r="L95" i="1"/>
  <c r="M95" i="1" s="1"/>
  <c r="L53" i="1"/>
  <c r="M53" i="1" s="1"/>
  <c r="L336" i="1"/>
  <c r="M336" i="1" s="1"/>
  <c r="L144" i="1"/>
  <c r="M144" i="1" s="1"/>
  <c r="K337" i="1"/>
  <c r="K357" i="1"/>
  <c r="K368" i="1"/>
  <c r="K320" i="1"/>
  <c r="L320" i="1" s="1"/>
  <c r="M320" i="1" s="1"/>
  <c r="K348" i="1"/>
  <c r="L348" i="1" s="1"/>
  <c r="K341" i="1"/>
  <c r="K361" i="1"/>
  <c r="K316" i="1"/>
  <c r="K349" i="1"/>
  <c r="L349" i="1" s="1"/>
  <c r="K365" i="1"/>
  <c r="L365" i="1" s="1"/>
  <c r="K318" i="1"/>
  <c r="L318" i="1" s="1"/>
  <c r="M318" i="1" s="1"/>
  <c r="K315" i="1"/>
  <c r="K347" i="1"/>
  <c r="L347" i="1" s="1"/>
  <c r="K364" i="1"/>
  <c r="L364" i="1" s="1"/>
  <c r="K317" i="1"/>
  <c r="L317" i="1" s="1"/>
  <c r="M317" i="1" s="1"/>
  <c r="K366" i="1"/>
  <c r="L366" i="1" s="1"/>
  <c r="M366" i="1" s="1"/>
  <c r="K339" i="1"/>
  <c r="L339" i="1" s="1"/>
  <c r="K359" i="1"/>
  <c r="L359" i="1" s="1"/>
  <c r="K377" i="1"/>
  <c r="L377" i="1" s="1"/>
  <c r="K340" i="1"/>
  <c r="L340" i="1" s="1"/>
  <c r="K360" i="1"/>
  <c r="L360" i="1" s="1"/>
  <c r="K314" i="1"/>
  <c r="M27" i="1"/>
  <c r="M62" i="1"/>
  <c r="M7" i="1"/>
  <c r="M66" i="1"/>
  <c r="M98" i="1"/>
  <c r="M11" i="1"/>
  <c r="M65" i="1"/>
  <c r="M14" i="1"/>
  <c r="M13" i="1"/>
  <c r="M99" i="1"/>
  <c r="M332" i="1"/>
  <c r="M64" i="1"/>
  <c r="M63" i="1"/>
  <c r="M102" i="1"/>
  <c r="M100" i="1"/>
  <c r="M12" i="1"/>
  <c r="M10" i="1"/>
  <c r="M9" i="1"/>
  <c r="M8" i="1"/>
  <c r="M176" i="1"/>
  <c r="M181" i="1"/>
  <c r="M178" i="1"/>
  <c r="M203" i="1"/>
  <c r="M201" i="1"/>
  <c r="M175" i="1"/>
  <c r="M174" i="1"/>
  <c r="M169" i="1"/>
  <c r="M168" i="1"/>
  <c r="M167" i="1"/>
  <c r="M166" i="1"/>
  <c r="M165" i="1"/>
  <c r="M163" i="1"/>
  <c r="M132" i="1"/>
  <c r="M131" i="1"/>
  <c r="M107" i="1"/>
  <c r="H261" i="1"/>
  <c r="H260" i="1"/>
  <c r="H259" i="1"/>
  <c r="H258" i="1"/>
  <c r="H256" i="1"/>
  <c r="H255" i="1"/>
  <c r="H257" i="1"/>
  <c r="H254" i="1"/>
  <c r="H230" i="1"/>
  <c r="G230" i="1"/>
  <c r="H229" i="1"/>
  <c r="G229" i="1"/>
  <c r="H224" i="1"/>
  <c r="G224" i="1"/>
  <c r="H231" i="1"/>
  <c r="G231" i="1"/>
  <c r="H228" i="1"/>
  <c r="G228" i="1"/>
  <c r="H227" i="1"/>
  <c r="G227" i="1"/>
  <c r="H226" i="1"/>
  <c r="G226" i="1"/>
  <c r="K226" i="1" s="1"/>
  <c r="L226" i="1" s="1"/>
  <c r="H225" i="1"/>
  <c r="G225" i="1"/>
  <c r="K225" i="1" s="1"/>
  <c r="L225" i="1" s="1"/>
  <c r="H223" i="1"/>
  <c r="G223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22" i="1"/>
  <c r="G222" i="1"/>
  <c r="H221" i="1"/>
  <c r="G221" i="1"/>
  <c r="K221" i="1" s="1"/>
  <c r="L221" i="1" s="1"/>
  <c r="H220" i="1"/>
  <c r="G220" i="1"/>
  <c r="H219" i="1"/>
  <c r="G219" i="1"/>
  <c r="K219" i="1" s="1"/>
  <c r="L219" i="1" s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K212" i="1" s="1"/>
  <c r="L212" i="1" s="1"/>
  <c r="H239" i="1"/>
  <c r="H238" i="1"/>
  <c r="H237" i="1"/>
  <c r="H236" i="1"/>
  <c r="H235" i="1"/>
  <c r="H234" i="1"/>
  <c r="H233" i="1"/>
  <c r="H23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K204" i="1" s="1"/>
  <c r="L204" i="1" s="1"/>
  <c r="K220" i="1" l="1"/>
  <c r="L220" i="1" s="1"/>
  <c r="K211" i="1"/>
  <c r="L211" i="1" s="1"/>
  <c r="K217" i="1"/>
  <c r="L217" i="1" s="1"/>
  <c r="K224" i="1"/>
  <c r="L224" i="1" s="1"/>
  <c r="K206" i="1"/>
  <c r="L206" i="1" s="1"/>
  <c r="K214" i="1"/>
  <c r="L214" i="1" s="1"/>
  <c r="K209" i="1"/>
  <c r="L209" i="1" s="1"/>
  <c r="K222" i="1"/>
  <c r="L222" i="1" s="1"/>
  <c r="K228" i="1"/>
  <c r="L228" i="1" s="1"/>
  <c r="M228" i="1" s="1"/>
  <c r="K230" i="1"/>
  <c r="L230" i="1" s="1"/>
  <c r="M230" i="1" s="1"/>
  <c r="K231" i="1"/>
  <c r="L231" i="1" s="1"/>
  <c r="M231" i="1" s="1"/>
  <c r="K227" i="1"/>
  <c r="L227" i="1" s="1"/>
  <c r="M227" i="1" s="1"/>
  <c r="K205" i="1"/>
  <c r="L205" i="1" s="1"/>
  <c r="K213" i="1"/>
  <c r="L213" i="1" s="1"/>
  <c r="K229" i="1"/>
  <c r="L229" i="1" s="1"/>
  <c r="M229" i="1" s="1"/>
  <c r="L357" i="1"/>
  <c r="M357" i="1" s="1"/>
  <c r="L314" i="1"/>
  <c r="M314" i="1" s="1"/>
  <c r="K210" i="1"/>
  <c r="L210" i="1" s="1"/>
  <c r="K218" i="1"/>
  <c r="L218" i="1" s="1"/>
  <c r="K223" i="1"/>
  <c r="L223" i="1" s="1"/>
  <c r="L341" i="1"/>
  <c r="M341" i="1" s="1"/>
  <c r="L361" i="1"/>
  <c r="M361" i="1" s="1"/>
  <c r="L368" i="1"/>
  <c r="M368" i="1" s="1"/>
  <c r="L316" i="1"/>
  <c r="M316" i="1" s="1"/>
  <c r="L337" i="1"/>
  <c r="M337" i="1" s="1"/>
  <c r="L315" i="1"/>
  <c r="M315" i="1" s="1"/>
  <c r="K207" i="1"/>
  <c r="L207" i="1" s="1"/>
  <c r="K215" i="1"/>
  <c r="L215" i="1" s="1"/>
  <c r="K208" i="1"/>
  <c r="L208" i="1" s="1"/>
  <c r="K216" i="1"/>
  <c r="L216" i="1" s="1"/>
  <c r="M340" i="1"/>
  <c r="M355" i="1"/>
  <c r="M354" i="1"/>
  <c r="M347" i="1"/>
  <c r="M342" i="1"/>
  <c r="M339" i="1"/>
  <c r="M370" i="1"/>
  <c r="M365" i="1"/>
  <c r="M377" i="1"/>
  <c r="M348" i="1"/>
  <c r="M376" i="1"/>
  <c r="M360" i="1"/>
  <c r="M369" i="1"/>
  <c r="M367" i="1"/>
  <c r="M356" i="1"/>
  <c r="M364" i="1"/>
  <c r="M363" i="1"/>
  <c r="M349" i="1"/>
  <c r="M359" i="1"/>
  <c r="M358" i="1"/>
  <c r="M18" i="1"/>
  <c r="M101" i="1"/>
  <c r="M110" i="1"/>
  <c r="M23" i="1"/>
  <c r="M19" i="1"/>
  <c r="M21" i="1"/>
  <c r="M22" i="1"/>
  <c r="M225" i="1"/>
  <c r="M224" i="1"/>
  <c r="M226" i="1"/>
  <c r="M25" i="1"/>
  <c r="M24" i="1"/>
  <c r="M20" i="1"/>
  <c r="M26" i="1"/>
  <c r="H343" i="1"/>
  <c r="H345" i="1"/>
  <c r="H351" i="1"/>
  <c r="H352" i="1"/>
  <c r="H353" i="1"/>
  <c r="H362" i="1"/>
  <c r="H344" i="1"/>
  <c r="H346" i="1"/>
  <c r="H378" i="1"/>
  <c r="H375" i="1"/>
  <c r="H380" i="1"/>
  <c r="H379" i="1"/>
  <c r="H373" i="1"/>
  <c r="H381" i="1"/>
  <c r="H371" i="1"/>
  <c r="H372" i="1"/>
  <c r="H374" i="1"/>
  <c r="G343" i="1"/>
  <c r="G345" i="1"/>
  <c r="G351" i="1"/>
  <c r="G352" i="1"/>
  <c r="G353" i="1"/>
  <c r="G362" i="1"/>
  <c r="G344" i="1"/>
  <c r="G346" i="1"/>
  <c r="G378" i="1"/>
  <c r="G375" i="1"/>
  <c r="G380" i="1"/>
  <c r="G379" i="1"/>
  <c r="G373" i="1"/>
  <c r="G381" i="1"/>
  <c r="G371" i="1"/>
  <c r="G372" i="1"/>
  <c r="G374" i="1"/>
  <c r="H281" i="1"/>
  <c r="H262" i="1"/>
  <c r="H263" i="1"/>
  <c r="H282" i="1"/>
  <c r="H283" i="1"/>
  <c r="H284" i="1"/>
  <c r="H264" i="1"/>
  <c r="H265" i="1"/>
  <c r="H266" i="1"/>
  <c r="H267" i="1"/>
  <c r="H285" i="1"/>
  <c r="H286" i="1"/>
  <c r="K286" i="1" s="1"/>
  <c r="L286" i="1" s="1"/>
  <c r="H268" i="1"/>
  <c r="K268" i="1" s="1"/>
  <c r="L268" i="1" s="1"/>
  <c r="H269" i="1"/>
  <c r="K269" i="1" s="1"/>
  <c r="L269" i="1" s="1"/>
  <c r="H287" i="1"/>
  <c r="H288" i="1"/>
  <c r="H289" i="1"/>
  <c r="H290" i="1"/>
  <c r="H270" i="1"/>
  <c r="H273" i="1"/>
  <c r="H274" i="1"/>
  <c r="H271" i="1"/>
  <c r="H272" i="1"/>
  <c r="H275" i="1"/>
  <c r="H276" i="1"/>
  <c r="H277" i="1"/>
  <c r="H278" i="1"/>
  <c r="H279" i="1"/>
  <c r="H280" i="1"/>
  <c r="H106" i="1"/>
  <c r="H108" i="1"/>
  <c r="H109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3" i="1"/>
  <c r="H159" i="1"/>
  <c r="H160" i="1"/>
  <c r="H161" i="1"/>
  <c r="H162" i="1"/>
  <c r="H164" i="1"/>
  <c r="H182" i="1"/>
  <c r="H183" i="1"/>
  <c r="H170" i="1"/>
  <c r="H172" i="1"/>
  <c r="H200" i="1"/>
  <c r="H202" i="1"/>
  <c r="G15" i="1"/>
  <c r="G67" i="1"/>
  <c r="G68" i="1"/>
  <c r="G69" i="1"/>
  <c r="G70" i="1"/>
  <c r="G17" i="1"/>
  <c r="H15" i="1"/>
  <c r="H16" i="1"/>
  <c r="H67" i="1"/>
  <c r="H68" i="1"/>
  <c r="H69" i="1"/>
  <c r="H70" i="1"/>
  <c r="H17" i="1"/>
  <c r="K285" i="1" l="1"/>
  <c r="L285" i="1" s="1"/>
  <c r="K267" i="1"/>
  <c r="L267" i="1" s="1"/>
  <c r="K266" i="1"/>
  <c r="L266" i="1" s="1"/>
  <c r="K265" i="1"/>
  <c r="L265" i="1" s="1"/>
  <c r="K264" i="1"/>
  <c r="L264" i="1" s="1"/>
  <c r="K284" i="1"/>
  <c r="L284" i="1" s="1"/>
  <c r="K275" i="1"/>
  <c r="L275" i="1" s="1"/>
  <c r="K288" i="1"/>
  <c r="L288" i="1" s="1"/>
  <c r="K287" i="1"/>
  <c r="L287" i="1" s="1"/>
  <c r="K373" i="1"/>
  <c r="L373" i="1" s="1"/>
  <c r="M373" i="1" s="1"/>
  <c r="K375" i="1"/>
  <c r="L375" i="1" s="1"/>
  <c r="M375" i="1" s="1"/>
  <c r="K282" i="1"/>
  <c r="L282" i="1" s="1"/>
  <c r="K278" i="1"/>
  <c r="L278" i="1" s="1"/>
  <c r="K262" i="1"/>
  <c r="L262" i="1" s="1"/>
  <c r="K381" i="1"/>
  <c r="K379" i="1"/>
  <c r="L379" i="1" s="1"/>
  <c r="M379" i="1" s="1"/>
  <c r="K380" i="1"/>
  <c r="L380" i="1" s="1"/>
  <c r="M380" i="1" s="1"/>
  <c r="K280" i="1"/>
  <c r="L280" i="1" s="1"/>
  <c r="K283" i="1"/>
  <c r="L283" i="1" s="1"/>
  <c r="K279" i="1"/>
  <c r="L279" i="1" s="1"/>
  <c r="K263" i="1"/>
  <c r="L263" i="1" s="1"/>
  <c r="K277" i="1"/>
  <c r="L277" i="1" s="1"/>
  <c r="K276" i="1"/>
  <c r="L276" i="1" s="1"/>
  <c r="K281" i="1"/>
  <c r="L281" i="1" s="1"/>
  <c r="K67" i="1"/>
  <c r="L67" i="1" s="1"/>
  <c r="K290" i="1"/>
  <c r="L290" i="1" s="1"/>
  <c r="K372" i="1"/>
  <c r="L372" i="1" s="1"/>
  <c r="M372" i="1" s="1"/>
  <c r="K15" i="1"/>
  <c r="L15" i="1" s="1"/>
  <c r="K289" i="1"/>
  <c r="L289" i="1" s="1"/>
  <c r="K371" i="1"/>
  <c r="L371" i="1" s="1"/>
  <c r="M371" i="1" s="1"/>
  <c r="K353" i="1"/>
  <c r="K352" i="1"/>
  <c r="K343" i="1"/>
  <c r="K346" i="1"/>
  <c r="K344" i="1"/>
  <c r="K345" i="1"/>
  <c r="K351" i="1"/>
  <c r="K70" i="1"/>
  <c r="L70" i="1" s="1"/>
  <c r="K274" i="1"/>
  <c r="L274" i="1" s="1"/>
  <c r="K378" i="1"/>
  <c r="K362" i="1"/>
  <c r="K272" i="1"/>
  <c r="L272" i="1" s="1"/>
  <c r="K17" i="1"/>
  <c r="L17" i="1" s="1"/>
  <c r="K69" i="1"/>
  <c r="L69" i="1" s="1"/>
  <c r="K273" i="1"/>
  <c r="L273" i="1" s="1"/>
  <c r="K271" i="1"/>
  <c r="L271" i="1" s="1"/>
  <c r="K68" i="1"/>
  <c r="L68" i="1" s="1"/>
  <c r="K270" i="1"/>
  <c r="L270" i="1" s="1"/>
  <c r="K374" i="1"/>
  <c r="L374" i="1" s="1"/>
  <c r="M374" i="1" s="1"/>
  <c r="L362" i="1" l="1"/>
  <c r="M362" i="1" s="1"/>
  <c r="L378" i="1"/>
  <c r="M378" i="1" s="1"/>
  <c r="L351" i="1"/>
  <c r="M351" i="1" s="1"/>
  <c r="L345" i="1"/>
  <c r="M345" i="1" s="1"/>
  <c r="L344" i="1"/>
  <c r="M344" i="1" s="1"/>
  <c r="L343" i="1"/>
  <c r="M343" i="1" s="1"/>
  <c r="L381" i="1"/>
  <c r="M381" i="1" s="1"/>
  <c r="L346" i="1"/>
  <c r="M346" i="1" s="1"/>
  <c r="L352" i="1"/>
  <c r="M352" i="1" s="1"/>
  <c r="L353" i="1"/>
  <c r="M353" i="1" s="1"/>
  <c r="H5" i="1"/>
  <c r="H4" i="1"/>
  <c r="H307" i="1"/>
  <c r="H299" i="1"/>
  <c r="K299" i="1" s="1"/>
  <c r="L299" i="1" s="1"/>
  <c r="M299" i="1" s="1"/>
  <c r="H304" i="1"/>
  <c r="K304" i="1" s="1"/>
  <c r="L304" i="1" s="1"/>
  <c r="M304" i="1" s="1"/>
  <c r="D35" i="3"/>
  <c r="D30" i="3"/>
  <c r="K307" i="1" l="1"/>
  <c r="L307" i="1" s="1"/>
  <c r="M307" i="1" s="1"/>
  <c r="H328" i="1" l="1"/>
  <c r="H294" i="1"/>
  <c r="H297" i="1"/>
  <c r="K294" i="1" l="1"/>
  <c r="L294" i="1" s="1"/>
  <c r="M294" i="1" s="1"/>
  <c r="K297" i="1"/>
  <c r="L297" i="1" s="1"/>
  <c r="M297" i="1" s="1"/>
  <c r="K328" i="1"/>
  <c r="L328" i="1" s="1"/>
  <c r="M328" i="1" s="1"/>
  <c r="H295" i="1"/>
  <c r="K295" i="1" s="1"/>
  <c r="L295" i="1" s="1"/>
  <c r="M295" i="1" s="1"/>
  <c r="H3" i="1"/>
  <c r="H333" i="1"/>
  <c r="H305" i="1"/>
  <c r="H327" i="1"/>
  <c r="K327" i="1" s="1"/>
  <c r="L327" i="1" s="1"/>
  <c r="M327" i="1" s="1"/>
  <c r="H312" i="1"/>
  <c r="K312" i="1" s="1"/>
  <c r="L312" i="1" s="1"/>
  <c r="M312" i="1" s="1"/>
  <c r="H306" i="1"/>
  <c r="H326" i="1"/>
  <c r="K326" i="1" s="1"/>
  <c r="L326" i="1" s="1"/>
  <c r="M326" i="1" s="1"/>
  <c r="H298" i="1"/>
  <c r="H325" i="1"/>
  <c r="H308" i="1"/>
  <c r="H309" i="1"/>
  <c r="H310" i="1"/>
  <c r="H311" i="1"/>
  <c r="H313" i="1"/>
  <c r="H329" i="1"/>
  <c r="H330" i="1"/>
  <c r="H331" i="1"/>
  <c r="H324" i="1"/>
  <c r="H300" i="1"/>
  <c r="K300" i="1" s="1"/>
  <c r="L300" i="1" s="1"/>
  <c r="M300" i="1" s="1"/>
  <c r="H292" i="1"/>
  <c r="K324" i="1" l="1"/>
  <c r="L324" i="1" s="1"/>
  <c r="M324" i="1" s="1"/>
  <c r="K331" i="1"/>
  <c r="L331" i="1" s="1"/>
  <c r="M331" i="1" s="1"/>
  <c r="K330" i="1"/>
  <c r="L330" i="1" s="1"/>
  <c r="M330" i="1" s="1"/>
  <c r="K329" i="1"/>
  <c r="L329" i="1" s="1"/>
  <c r="M329" i="1" s="1"/>
  <c r="K311" i="1"/>
  <c r="L311" i="1" s="1"/>
  <c r="M311" i="1" s="1"/>
  <c r="K309" i="1"/>
  <c r="L309" i="1" s="1"/>
  <c r="M309" i="1" s="1"/>
  <c r="K305" i="1"/>
  <c r="L305" i="1" s="1"/>
  <c r="M305" i="1" s="1"/>
  <c r="K306" i="1"/>
  <c r="L306" i="1" s="1"/>
  <c r="M306" i="1" s="1"/>
  <c r="K313" i="1"/>
  <c r="L313" i="1" s="1"/>
  <c r="M313" i="1" s="1"/>
  <c r="K325" i="1"/>
  <c r="L325" i="1" s="1"/>
  <c r="M325" i="1" s="1"/>
  <c r="K310" i="1"/>
  <c r="L310" i="1" s="1"/>
  <c r="M310" i="1" s="1"/>
  <c r="K308" i="1"/>
  <c r="L308" i="1" s="1"/>
  <c r="M308" i="1" s="1"/>
  <c r="K298" i="1"/>
  <c r="L298" i="1" s="1"/>
  <c r="M298" i="1" s="1"/>
  <c r="H296" i="1"/>
  <c r="H303" i="1"/>
  <c r="K296" i="1" l="1"/>
  <c r="L296" i="1" s="1"/>
  <c r="M296" i="1" s="1"/>
  <c r="K303" i="1"/>
  <c r="L303" i="1" s="1"/>
  <c r="M303" i="1" s="1"/>
  <c r="D36" i="3"/>
  <c r="D22" i="3"/>
  <c r="D21" i="3"/>
  <c r="G333" i="1" s="1"/>
  <c r="K333" i="1" s="1"/>
  <c r="L333" i="1" s="1"/>
  <c r="D40" i="3"/>
  <c r="G159" i="1" l="1"/>
  <c r="K159" i="1" s="1"/>
  <c r="L159" i="1" s="1"/>
  <c r="G202" i="1"/>
  <c r="K202" i="1" s="1"/>
  <c r="L202" i="1" s="1"/>
  <c r="G172" i="1"/>
  <c r="K172" i="1" s="1"/>
  <c r="L172" i="1" s="1"/>
  <c r="G183" i="1"/>
  <c r="K183" i="1" s="1"/>
  <c r="L183" i="1" s="1"/>
  <c r="G160" i="1"/>
  <c r="K160" i="1" s="1"/>
  <c r="L160" i="1" s="1"/>
  <c r="G162" i="1"/>
  <c r="K162" i="1" s="1"/>
  <c r="L162" i="1" s="1"/>
  <c r="G164" i="1"/>
  <c r="K164" i="1" s="1"/>
  <c r="L164" i="1" s="1"/>
  <c r="G170" i="1"/>
  <c r="K170" i="1" s="1"/>
  <c r="L170" i="1" s="1"/>
  <c r="G161" i="1"/>
  <c r="K161" i="1" s="1"/>
  <c r="L161" i="1" s="1"/>
  <c r="G182" i="1"/>
  <c r="K182" i="1" s="1"/>
  <c r="L182" i="1" s="1"/>
  <c r="G200" i="1"/>
  <c r="K200" i="1" s="1"/>
  <c r="L200" i="1" s="1"/>
  <c r="D19" i="3"/>
  <c r="G5" i="1" l="1"/>
  <c r="G4" i="1"/>
  <c r="G3" i="1"/>
  <c r="K3" i="1" s="1"/>
  <c r="L3" i="1" s="1"/>
  <c r="D38" i="3"/>
  <c r="G16" i="1" s="1"/>
  <c r="K16" i="1" s="1"/>
  <c r="L16" i="1" s="1"/>
  <c r="D39" i="3"/>
  <c r="D41" i="3"/>
  <c r="D3" i="3"/>
  <c r="D4" i="3"/>
  <c r="D5" i="3"/>
  <c r="D59" i="3"/>
  <c r="D6" i="3"/>
  <c r="D24" i="3"/>
  <c r="D51" i="3"/>
  <c r="D42" i="3"/>
  <c r="D60" i="3"/>
  <c r="D61" i="3"/>
  <c r="D63" i="3"/>
  <c r="G292" i="1" s="1"/>
  <c r="K292" i="1" s="1"/>
  <c r="L292" i="1" s="1"/>
  <c r="D43" i="3"/>
  <c r="D25" i="3"/>
  <c r="D31" i="3"/>
  <c r="D37" i="3"/>
  <c r="D33" i="3"/>
  <c r="D34" i="3"/>
  <c r="M216" i="1"/>
  <c r="M213" i="1"/>
  <c r="M210" i="1"/>
  <c r="M208" i="1"/>
  <c r="M206" i="1"/>
  <c r="M161" i="1"/>
  <c r="M159" i="1"/>
  <c r="M218" i="1"/>
  <c r="M384" i="1"/>
  <c r="M383" i="1"/>
  <c r="M170" i="1"/>
  <c r="M215" i="1"/>
  <c r="M164" i="1"/>
  <c r="M214" i="1"/>
  <c r="M212" i="1"/>
  <c r="M209" i="1"/>
  <c r="M207" i="1"/>
  <c r="M205" i="1"/>
  <c r="M160" i="1"/>
  <c r="M200" i="1"/>
  <c r="M204" i="1"/>
  <c r="M217" i="1"/>
  <c r="M70" i="1"/>
  <c r="M382" i="1"/>
  <c r="M17" i="1"/>
  <c r="M68" i="1"/>
  <c r="M15" i="1"/>
  <c r="M105" i="1"/>
  <c r="M183" i="1"/>
  <c r="M202" i="1"/>
  <c r="M104" i="1"/>
  <c r="M172" i="1"/>
  <c r="M182" i="1"/>
  <c r="M162" i="1"/>
  <c r="M219" i="1"/>
  <c r="M69" i="1"/>
  <c r="M67" i="1"/>
  <c r="M222" i="1"/>
  <c r="M221" i="1"/>
  <c r="M103" i="1"/>
  <c r="M220" i="1"/>
  <c r="M223" i="1"/>
  <c r="M211" i="1"/>
  <c r="M262" i="1"/>
  <c r="M269" i="1"/>
  <c r="M271" i="1"/>
  <c r="M272" i="1"/>
  <c r="M273" i="1"/>
  <c r="M287" i="1"/>
  <c r="M285" i="1"/>
  <c r="M276" i="1"/>
  <c r="M283" i="1"/>
  <c r="M290" i="1"/>
  <c r="M263" i="1"/>
  <c r="M266" i="1"/>
  <c r="M286" i="1"/>
  <c r="M268" i="1"/>
  <c r="M275" i="1"/>
  <c r="M274" i="1"/>
  <c r="M270" i="1"/>
  <c r="M333" i="1"/>
  <c r="M288" i="1"/>
  <c r="M277" i="1"/>
  <c r="M264" i="1"/>
  <c r="M282" i="1"/>
  <c r="M265" i="1"/>
  <c r="M281" i="1"/>
  <c r="M284" i="1"/>
  <c r="M278" i="1"/>
  <c r="M267" i="1"/>
  <c r="M279" i="1"/>
  <c r="M280" i="1"/>
  <c r="M289" i="1"/>
  <c r="K5" i="1" l="1"/>
  <c r="K4" i="1"/>
  <c r="G258" i="1"/>
  <c r="G249" i="1"/>
  <c r="G257" i="1"/>
  <c r="G260" i="1"/>
  <c r="G232" i="1"/>
  <c r="G256" i="1"/>
  <c r="G252" i="1"/>
  <c r="G248" i="1"/>
  <c r="G244" i="1"/>
  <c r="G240" i="1"/>
  <c r="G239" i="1"/>
  <c r="G235" i="1"/>
  <c r="G254" i="1"/>
  <c r="G259" i="1"/>
  <c r="G251" i="1"/>
  <c r="G247" i="1"/>
  <c r="G243" i="1"/>
  <c r="G238" i="1"/>
  <c r="G234" i="1"/>
  <c r="G241" i="1"/>
  <c r="G255" i="1"/>
  <c r="G253" i="1"/>
  <c r="G261" i="1"/>
  <c r="G250" i="1"/>
  <c r="G246" i="1"/>
  <c r="G242" i="1"/>
  <c r="G237" i="1"/>
  <c r="G233" i="1"/>
  <c r="G245" i="1"/>
  <c r="G236" i="1"/>
  <c r="M16" i="1"/>
  <c r="M292" i="1"/>
  <c r="G122" i="1"/>
  <c r="K122" i="1" s="1"/>
  <c r="L122" i="1" s="1"/>
  <c r="G128" i="1"/>
  <c r="K128" i="1" s="1"/>
  <c r="L128" i="1" s="1"/>
  <c r="G123" i="1"/>
  <c r="K123" i="1" s="1"/>
  <c r="L123" i="1" s="1"/>
  <c r="G124" i="1"/>
  <c r="K124" i="1" s="1"/>
  <c r="L124" i="1" s="1"/>
  <c r="G115" i="1"/>
  <c r="K115" i="1" s="1"/>
  <c r="L115" i="1" s="1"/>
  <c r="G125" i="1"/>
  <c r="K125" i="1" s="1"/>
  <c r="L125" i="1" s="1"/>
  <c r="G114" i="1"/>
  <c r="K114" i="1" s="1"/>
  <c r="L114" i="1" s="1"/>
  <c r="G118" i="1"/>
  <c r="K118" i="1" s="1"/>
  <c r="L118" i="1" s="1"/>
  <c r="G119" i="1"/>
  <c r="K119" i="1" s="1"/>
  <c r="L119" i="1" s="1"/>
  <c r="G129" i="1"/>
  <c r="K129" i="1" s="1"/>
  <c r="L129" i="1" s="1"/>
  <c r="G130" i="1"/>
  <c r="K130" i="1" s="1"/>
  <c r="L130" i="1" s="1"/>
  <c r="G106" i="1"/>
  <c r="K106" i="1" s="1"/>
  <c r="L106" i="1" s="1"/>
  <c r="G121" i="1"/>
  <c r="K121" i="1" s="1"/>
  <c r="L121" i="1" s="1"/>
  <c r="G126" i="1"/>
  <c r="K126" i="1" s="1"/>
  <c r="L126" i="1" s="1"/>
  <c r="G127" i="1"/>
  <c r="K127" i="1" s="1"/>
  <c r="L127" i="1" s="1"/>
  <c r="G133" i="1"/>
  <c r="K133" i="1" s="1"/>
  <c r="L133" i="1" s="1"/>
  <c r="G117" i="1"/>
  <c r="K117" i="1" s="1"/>
  <c r="L117" i="1" s="1"/>
  <c r="G120" i="1"/>
  <c r="K120" i="1" s="1"/>
  <c r="L120" i="1" s="1"/>
  <c r="G108" i="1"/>
  <c r="K108" i="1" s="1"/>
  <c r="L108" i="1" s="1"/>
  <c r="G109" i="1"/>
  <c r="K109" i="1" s="1"/>
  <c r="L109" i="1" s="1"/>
  <c r="G111" i="1"/>
  <c r="K111" i="1" s="1"/>
  <c r="L111" i="1" s="1"/>
  <c r="G112" i="1"/>
  <c r="K112" i="1" s="1"/>
  <c r="L112" i="1" s="1"/>
  <c r="G113" i="1"/>
  <c r="K113" i="1" s="1"/>
  <c r="L113" i="1" s="1"/>
  <c r="G116" i="1"/>
  <c r="K116" i="1" s="1"/>
  <c r="L116" i="1" s="1"/>
  <c r="L4" i="1" l="1"/>
  <c r="M4" i="1" s="1"/>
  <c r="L5" i="1"/>
  <c r="M5" i="1" s="1"/>
  <c r="K234" i="1"/>
  <c r="K243" i="1"/>
  <c r="K254" i="1"/>
  <c r="K241" i="1"/>
  <c r="K259" i="1"/>
  <c r="K233" i="1"/>
  <c r="K260" i="1"/>
  <c r="K240" i="1"/>
  <c r="K257" i="1"/>
  <c r="K238" i="1"/>
  <c r="K251" i="1"/>
  <c r="K239" i="1"/>
  <c r="K248" i="1"/>
  <c r="K245" i="1"/>
  <c r="K249" i="1"/>
  <c r="K252" i="1"/>
  <c r="K256" i="1"/>
  <c r="K258" i="1"/>
  <c r="K250" i="1"/>
  <c r="K247" i="1"/>
  <c r="K244" i="1"/>
  <c r="K236" i="1"/>
  <c r="K261" i="1"/>
  <c r="K253" i="1"/>
  <c r="K235" i="1"/>
  <c r="K232" i="1"/>
  <c r="K237" i="1"/>
  <c r="K242" i="1"/>
  <c r="K246" i="1"/>
  <c r="K255" i="1"/>
  <c r="M123" i="1"/>
  <c r="M122" i="1"/>
  <c r="M116" i="1"/>
  <c r="M129" i="1"/>
  <c r="M124" i="1"/>
  <c r="M128" i="1"/>
  <c r="M113" i="1"/>
  <c r="M115" i="1"/>
  <c r="M119" i="1"/>
  <c r="M126" i="1"/>
  <c r="M125" i="1"/>
  <c r="M108" i="1"/>
  <c r="M127" i="1"/>
  <c r="M121" i="1"/>
  <c r="M118" i="1"/>
  <c r="M112" i="1"/>
  <c r="M109" i="1"/>
  <c r="M133" i="1"/>
  <c r="M114" i="1"/>
  <c r="M111" i="1"/>
  <c r="M120" i="1"/>
  <c r="M117" i="1"/>
  <c r="M106" i="1"/>
  <c r="M130" i="1"/>
  <c r="L252" i="1" l="1"/>
  <c r="M252" i="1" s="1"/>
  <c r="L260" i="1"/>
  <c r="M260" i="1" s="1"/>
  <c r="L233" i="1"/>
  <c r="M233" i="1" s="1"/>
  <c r="L259" i="1"/>
  <c r="M259" i="1" s="1"/>
  <c r="L241" i="1"/>
  <c r="M241" i="1" s="1"/>
  <c r="L245" i="1"/>
  <c r="M245" i="1" s="1"/>
  <c r="L240" i="1"/>
  <c r="M240" i="1" s="1"/>
  <c r="L255" i="1"/>
  <c r="M255" i="1" s="1"/>
  <c r="L237" i="1"/>
  <c r="M237" i="1" s="1"/>
  <c r="L254" i="1"/>
  <c r="M254" i="1" s="1"/>
  <c r="L249" i="1"/>
  <c r="M249" i="1" s="1"/>
  <c r="L251" i="1"/>
  <c r="M251" i="1" s="1"/>
  <c r="L242" i="1"/>
  <c r="M242" i="1" s="1"/>
  <c r="L232" i="1"/>
  <c r="M232" i="1" s="1"/>
  <c r="L243" i="1"/>
  <c r="M243" i="1" s="1"/>
  <c r="L250" i="1"/>
  <c r="M250" i="1" s="1"/>
  <c r="L239" i="1"/>
  <c r="M239" i="1" s="1"/>
  <c r="L235" i="1"/>
  <c r="M235" i="1" s="1"/>
  <c r="L234" i="1"/>
  <c r="M234" i="1" s="1"/>
  <c r="L258" i="1"/>
  <c r="M258" i="1" s="1"/>
  <c r="L253" i="1"/>
  <c r="M253" i="1" s="1"/>
  <c r="L256" i="1"/>
  <c r="M256" i="1" s="1"/>
  <c r="L238" i="1"/>
  <c r="M238" i="1" s="1"/>
  <c r="L261" i="1"/>
  <c r="M261" i="1" s="1"/>
  <c r="L248" i="1"/>
  <c r="M248" i="1" s="1"/>
  <c r="L257" i="1"/>
  <c r="M257" i="1" s="1"/>
  <c r="L246" i="1"/>
  <c r="M246" i="1" s="1"/>
  <c r="L236" i="1"/>
  <c r="M236" i="1" s="1"/>
  <c r="L247" i="1"/>
  <c r="M247" i="1" s="1"/>
  <c r="L244" i="1"/>
  <c r="M244" i="1" s="1"/>
  <c r="M3" i="1" l="1"/>
</calcChain>
</file>

<file path=xl/sharedStrings.xml><?xml version="1.0" encoding="utf-8"?>
<sst xmlns="http://schemas.openxmlformats.org/spreadsheetml/2006/main" count="3259" uniqueCount="971">
  <si>
    <r>
      <t xml:space="preserve">Required Columns:  </t>
    </r>
    <r>
      <rPr>
        <b/>
        <sz val="20"/>
        <color rgb="FFFF0000"/>
        <rFont val="Calibri"/>
        <family val="2"/>
        <scheme val="minor"/>
      </rPr>
      <t>Company</t>
    </r>
    <r>
      <rPr>
        <b/>
        <sz val="20"/>
        <rFont val="Calibri"/>
        <family val="2"/>
        <scheme val="minor"/>
      </rPr>
      <t>(1)</t>
    </r>
    <r>
      <rPr>
        <b/>
        <sz val="20"/>
        <color rgb="FFFF0000"/>
        <rFont val="Calibri"/>
        <family val="2"/>
        <scheme val="minor"/>
      </rPr>
      <t xml:space="preserve"> and Site</t>
    </r>
    <r>
      <rPr>
        <b/>
        <sz val="20"/>
        <rFont val="Calibri"/>
        <family val="2"/>
        <scheme val="minor"/>
      </rPr>
      <t xml:space="preserve">(2) </t>
    </r>
    <r>
      <rPr>
        <b/>
        <sz val="20"/>
        <color theme="1"/>
        <rFont val="Calibri"/>
        <family val="2"/>
        <scheme val="minor"/>
      </rPr>
      <t xml:space="preserve">
For Three Levels: Utilize </t>
    </r>
    <r>
      <rPr>
        <b/>
        <sz val="20"/>
        <color theme="8"/>
        <rFont val="Calibri"/>
        <family val="2"/>
        <scheme val="minor"/>
      </rPr>
      <t xml:space="preserve">Unit </t>
    </r>
    <r>
      <rPr>
        <b/>
        <sz val="20"/>
        <rFont val="Calibri"/>
        <family val="2"/>
        <scheme val="minor"/>
      </rPr>
      <t>(3)</t>
    </r>
    <r>
      <rPr>
        <b/>
        <sz val="20"/>
        <color theme="1"/>
        <rFont val="Calibri"/>
        <family val="2"/>
        <scheme val="minor"/>
      </rPr>
      <t xml:space="preserve"> Column
To Help Build Asset Naming: Utilize </t>
    </r>
    <r>
      <rPr>
        <b/>
        <sz val="20"/>
        <color theme="8"/>
        <rFont val="Calibri"/>
        <family val="2"/>
        <scheme val="minor"/>
      </rPr>
      <t xml:space="preserve">Sub-Area </t>
    </r>
    <r>
      <rPr>
        <b/>
        <sz val="20"/>
        <rFont val="Calibri"/>
        <family val="2"/>
        <scheme val="minor"/>
      </rPr>
      <t>(4)</t>
    </r>
    <r>
      <rPr>
        <b/>
        <sz val="20"/>
        <color theme="8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 xml:space="preserve">Column (will not affect Asset Hierarchy)
Input </t>
    </r>
    <r>
      <rPr>
        <b/>
        <sz val="20"/>
        <color theme="5" tint="-0.499984740745262"/>
        <rFont val="Calibri"/>
        <family val="2"/>
        <scheme val="minor"/>
      </rPr>
      <t>Asset Type</t>
    </r>
    <r>
      <rPr>
        <b/>
        <sz val="20"/>
        <color theme="1"/>
        <rFont val="Calibri"/>
        <family val="2"/>
        <scheme val="minor"/>
      </rPr>
      <t xml:space="preserve"> (4) and </t>
    </r>
    <r>
      <rPr>
        <b/>
        <sz val="20"/>
        <color theme="5" tint="-0.499984740745262"/>
        <rFont val="Calibri"/>
        <family val="2"/>
        <scheme val="minor"/>
      </rPr>
      <t>Select Asset Model</t>
    </r>
    <r>
      <rPr>
        <b/>
        <sz val="20"/>
        <color theme="1"/>
        <rFont val="Calibri"/>
        <family val="2"/>
        <scheme val="minor"/>
      </rPr>
      <t xml:space="preserve"> (5)
Select </t>
    </r>
    <r>
      <rPr>
        <b/>
        <sz val="20"/>
        <color theme="5" tint="-0.499984740745262"/>
        <rFont val="Calibri"/>
        <family val="2"/>
        <scheme val="minor"/>
      </rPr>
      <t>Data Drive</t>
    </r>
    <r>
      <rPr>
        <b/>
        <sz val="20"/>
        <color theme="1"/>
        <rFont val="Calibri"/>
        <family val="2"/>
        <scheme val="minor"/>
      </rPr>
      <t xml:space="preserve"> (6)
Optionally, Review Asset Name and Update Asset Name Accordingly
</t>
    </r>
  </si>
  <si>
    <t>Input Company Name
Level 1
 (1)</t>
  </si>
  <si>
    <t>Input Site/Plant
Level 2
(2)</t>
  </si>
  <si>
    <t>Input Units
Level 3
(3)</t>
  </si>
  <si>
    <t>Input 
Sub-Area
(Used to Build Asset Name)
 (Optional)</t>
  </si>
  <si>
    <t>Select Asset Type
(4)</t>
  </si>
  <si>
    <t>Select Asset Model
(5)</t>
  </si>
  <si>
    <t>Select Vendor Prefix
(6)</t>
  </si>
  <si>
    <t>Select Product
(7)</t>
  </si>
  <si>
    <t>Input Data Drive
 (8)</t>
  </si>
  <si>
    <t>Remove Formula and Enter Asset Prefix Manually, if Needed</t>
  </si>
  <si>
    <t>Remove Formula and Enter Asset Name Manually, if Needed</t>
  </si>
  <si>
    <t>Remove Formula and Enter Folder Name Manually, if Needed</t>
  </si>
  <si>
    <t>Company</t>
  </si>
  <si>
    <t>Plants</t>
  </si>
  <si>
    <t>Units</t>
  </si>
  <si>
    <t>Sub-Area</t>
  </si>
  <si>
    <t>Asset Type</t>
  </si>
  <si>
    <t>Asset Model</t>
  </si>
  <si>
    <t>Vendor Prefix</t>
  </si>
  <si>
    <t>Product</t>
  </si>
  <si>
    <t>Data Drive</t>
  </si>
  <si>
    <t>Asset Prefix</t>
  </si>
  <si>
    <t>Suggested Asset Naming</t>
  </si>
  <si>
    <t>Suggested Folder Naming</t>
  </si>
  <si>
    <t>MDIR Commands</t>
  </si>
  <si>
    <t>Marathon</t>
  </si>
  <si>
    <t>ManualInventory</t>
  </si>
  <si>
    <t>[Manual-Inventory]</t>
  </si>
  <si>
    <t>E</t>
  </si>
  <si>
    <t>61PLC_9337</t>
  </si>
  <si>
    <t>PLC</t>
  </si>
  <si>
    <t>AB ControlLogix</t>
  </si>
  <si>
    <t>61PLC_9347</t>
  </si>
  <si>
    <t>61PLC_9348</t>
  </si>
  <si>
    <t>70PLC_9318</t>
  </si>
  <si>
    <t>AB</t>
  </si>
  <si>
    <t>CtrLogix</t>
  </si>
  <si>
    <t>70PLC_9325</t>
  </si>
  <si>
    <t>73PLC_9330</t>
  </si>
  <si>
    <t>74PLC_9338</t>
  </si>
  <si>
    <t>75PLC_9333</t>
  </si>
  <si>
    <t>82PLC_9332</t>
  </si>
  <si>
    <t>84PLC_9308</t>
  </si>
  <si>
    <t>84PLC_9309</t>
  </si>
  <si>
    <t>84PLC_9310</t>
  </si>
  <si>
    <t>84PLC_9311</t>
  </si>
  <si>
    <t>84PLC_9312</t>
  </si>
  <si>
    <t>87PLC_9340</t>
  </si>
  <si>
    <t>88PLC_9329</t>
  </si>
  <si>
    <t>98PLC_9327</t>
  </si>
  <si>
    <t>98PLC_9328</t>
  </si>
  <si>
    <t>GIS_Data_Concentrator</t>
  </si>
  <si>
    <t>GIS_PLC_Bay1</t>
  </si>
  <si>
    <t>RGC1</t>
  </si>
  <si>
    <t>RGC2</t>
  </si>
  <si>
    <t>Water_Softner</t>
  </si>
  <si>
    <t>IB_72AC_612</t>
  </si>
  <si>
    <t>SRP_Analyzer</t>
  </si>
  <si>
    <t>SRP_F1402</t>
  </si>
  <si>
    <t>SRP_F705</t>
  </si>
  <si>
    <t>SRP_Flare</t>
  </si>
  <si>
    <t>17PLC_9057</t>
  </si>
  <si>
    <t>11PLC_9050</t>
  </si>
  <si>
    <t>AB PLC5</t>
  </si>
  <si>
    <t>17PLC_9056</t>
  </si>
  <si>
    <t>23PLC_9203</t>
  </si>
  <si>
    <t>38PLC_9011</t>
  </si>
  <si>
    <t>62PLC_9206</t>
  </si>
  <si>
    <t>75PLC_9000</t>
  </si>
  <si>
    <t>75PLC_9001_30</t>
  </si>
  <si>
    <t>75PLC_9001_31</t>
  </si>
  <si>
    <t>75PLC_9002</t>
  </si>
  <si>
    <t>75PLC_9003</t>
  </si>
  <si>
    <t>75PLC_9004</t>
  </si>
  <si>
    <t>75PLC_9005</t>
  </si>
  <si>
    <t>75PLC_9006</t>
  </si>
  <si>
    <t>75PLC_9007</t>
  </si>
  <si>
    <t>75PLC_9008</t>
  </si>
  <si>
    <t>75PLC_9009</t>
  </si>
  <si>
    <t>75PLC_9010</t>
  </si>
  <si>
    <t>75PLC_9016</t>
  </si>
  <si>
    <t>75PLC_9017</t>
  </si>
  <si>
    <t>75PLC_9019</t>
  </si>
  <si>
    <t>75PLC_9020</t>
  </si>
  <si>
    <t>76PLC</t>
  </si>
  <si>
    <t>76PLC_9058</t>
  </si>
  <si>
    <t>84PLC_9014</t>
  </si>
  <si>
    <t>84PLC_9061</t>
  </si>
  <si>
    <t>87PLC_9067</t>
  </si>
  <si>
    <t>88PLC_9207</t>
  </si>
  <si>
    <t>89PLC_9060</t>
  </si>
  <si>
    <t>11PLC_9527</t>
  </si>
  <si>
    <t>AB SLC500</t>
  </si>
  <si>
    <t>11PLC_9528</t>
  </si>
  <si>
    <t>11PLC_9529</t>
  </si>
  <si>
    <t>17PLC_9526</t>
  </si>
  <si>
    <t>38PLC_9901D</t>
  </si>
  <si>
    <t>40PLC_9901E</t>
  </si>
  <si>
    <t>44PLC_9911</t>
  </si>
  <si>
    <t>74PLC_9530</t>
  </si>
  <si>
    <t>74PLC_9531</t>
  </si>
  <si>
    <t>80PLC_9901B</t>
  </si>
  <si>
    <t>81PLC_9901C</t>
  </si>
  <si>
    <t>83PLC_9013</t>
  </si>
  <si>
    <t>83PLC_9534</t>
  </si>
  <si>
    <t>84PLC_9535</t>
  </si>
  <si>
    <t>Coker_Unit_Danger</t>
  </si>
  <si>
    <t>Sulfur_Unit_Danger</t>
  </si>
  <si>
    <t>Butane_Blower</t>
  </si>
  <si>
    <t>Fuel_Transfer</t>
  </si>
  <si>
    <t>Hot_Lime_Injection</t>
  </si>
  <si>
    <t>WCC_91_Fog_Skid</t>
  </si>
  <si>
    <t>WCC_93_Fog_Skid</t>
  </si>
  <si>
    <t>WCC_94_Fog_Skid</t>
  </si>
  <si>
    <t>45LCP_01A</t>
  </si>
  <si>
    <t>45LCP_02</t>
  </si>
  <si>
    <t>C_164_Chiller</t>
  </si>
  <si>
    <t>Flare_Gas_Sample</t>
  </si>
  <si>
    <t>NH3_CTRL_PAC_Mee_Inj_Sys</t>
  </si>
  <si>
    <t>North_dib</t>
  </si>
  <si>
    <t>APC</t>
  </si>
  <si>
    <t>Aspen DMCplus</t>
  </si>
  <si>
    <t>North_fcc1deprop</t>
  </si>
  <si>
    <t>North_fccdehex</t>
  </si>
  <si>
    <t>North_fccu</t>
  </si>
  <si>
    <t>North_ffhds</t>
  </si>
  <si>
    <t>North_gasplant</t>
  </si>
  <si>
    <t>North_h2plt</t>
  </si>
  <si>
    <t>North_hcu</t>
  </si>
  <si>
    <t>North_ref2</t>
  </si>
  <si>
    <t>South_acid</t>
  </si>
  <si>
    <t>South_alkdeb</t>
  </si>
  <si>
    <t>South_alky</t>
  </si>
  <si>
    <t>South_C3SPLT</t>
  </si>
  <si>
    <t>South_coker1</t>
  </si>
  <si>
    <t>South_coker2</t>
  </si>
  <si>
    <t>South_crddehex</t>
  </si>
  <si>
    <t>South_crude1</t>
  </si>
  <si>
    <t>South_crude2</t>
  </si>
  <si>
    <t>South_crude4</t>
  </si>
  <si>
    <t>South_napspl</t>
  </si>
  <si>
    <t>14HTU4</t>
  </si>
  <si>
    <t>2alky</t>
  </si>
  <si>
    <t>2alky_acid</t>
  </si>
  <si>
    <t>3cdu</t>
  </si>
  <si>
    <t>3dcu</t>
  </si>
  <si>
    <t>42cru2</t>
  </si>
  <si>
    <t>43CRU3</t>
  </si>
  <si>
    <t>5hcu</t>
  </si>
  <si>
    <t>North_iq2ref</t>
  </si>
  <si>
    <t>Aspen IQ</t>
  </si>
  <si>
    <t>North_iQDIB</t>
  </si>
  <si>
    <t>North_iqfcc</t>
  </si>
  <si>
    <t>North_iqfcc1deprop</t>
  </si>
  <si>
    <t>North_iqfccdehex</t>
  </si>
  <si>
    <t>North_iqffhds</t>
  </si>
  <si>
    <t>North_iqgasplant</t>
  </si>
  <si>
    <t>North_iqhcu</t>
  </si>
  <si>
    <t>South_iqalky2</t>
  </si>
  <si>
    <t>South_iqalkyacid</t>
  </si>
  <si>
    <t>South_iqalkyacidc</t>
  </si>
  <si>
    <t>South_iqC3splitter</t>
  </si>
  <si>
    <t>South_iqcoker1</t>
  </si>
  <si>
    <t>South_iqcoker2</t>
  </si>
  <si>
    <t>South_iqcrude1</t>
  </si>
  <si>
    <t>South_iqcrude2</t>
  </si>
  <si>
    <t>South_iqcrude4</t>
  </si>
  <si>
    <t>South_iqcrudefrz</t>
  </si>
  <si>
    <t>South_iqdehex1</t>
  </si>
  <si>
    <t>South_iqdehex2</t>
  </si>
  <si>
    <t>South_iqjetflash</t>
  </si>
  <si>
    <t>South_iqnapspl</t>
  </si>
  <si>
    <t>IQ3CDU</t>
  </si>
  <si>
    <t>IQ42CRU2</t>
  </si>
  <si>
    <t>IQ42JETFL</t>
  </si>
  <si>
    <t>IQ5HCU</t>
  </si>
  <si>
    <t>IQALKY</t>
  </si>
  <si>
    <t>IQCRU3</t>
  </si>
  <si>
    <t>IQDCU</t>
  </si>
  <si>
    <t>IQHTU4</t>
  </si>
  <si>
    <t>ALKY_Refrig</t>
  </si>
  <si>
    <t>VMS</t>
  </si>
  <si>
    <t>Bently Nevada 3500</t>
  </si>
  <si>
    <t>Coker_K2_Comp</t>
  </si>
  <si>
    <t>FCC_2nd_Stage</t>
  </si>
  <si>
    <t>FCC_Frick</t>
  </si>
  <si>
    <t>FCC_LRU_TEC</t>
  </si>
  <si>
    <t>FCC_MAB</t>
  </si>
  <si>
    <t>HCU_Recycle</t>
  </si>
  <si>
    <t>HDS_Recycle</t>
  </si>
  <si>
    <t>ISOM_C3_Splitter</t>
  </si>
  <si>
    <t>SFIA_VRCOMP1</t>
  </si>
  <si>
    <t>SFIA_VRCOMP2</t>
  </si>
  <si>
    <t>STG1</t>
  </si>
  <si>
    <t>STG2</t>
  </si>
  <si>
    <t>U91_GTG1</t>
  </si>
  <si>
    <t>U92_GTG2</t>
  </si>
  <si>
    <t>U93_GTG3</t>
  </si>
  <si>
    <t>U94_GTG4</t>
  </si>
  <si>
    <t>ALKY_C_155_Refrig</t>
  </si>
  <si>
    <t>CRU2_C_73_Recycle</t>
  </si>
  <si>
    <t>CRU3_C_89_Recycle</t>
  </si>
  <si>
    <t>DCU_C_87_Recycle</t>
  </si>
  <si>
    <t>HCU_C_93_Recycle</t>
  </si>
  <si>
    <t>HCU_P_3669_Pump</t>
  </si>
  <si>
    <t>HTU3_C_86_Recycle</t>
  </si>
  <si>
    <t>HTU4_C_134_Recycle_Temp</t>
  </si>
  <si>
    <t>HTU4_C_134_Recycle_Vib</t>
  </si>
  <si>
    <t>HTU4_P_2337_Pump</t>
  </si>
  <si>
    <t>Watson</t>
  </si>
  <si>
    <t>TCS</t>
  </si>
  <si>
    <t>GE Mark VIe</t>
  </si>
  <si>
    <t>DCS</t>
  </si>
  <si>
    <t>Honeywell EPKS</t>
  </si>
  <si>
    <t>HCU</t>
  </si>
  <si>
    <t>REF1_ESVT</t>
  </si>
  <si>
    <t>SHB</t>
  </si>
  <si>
    <t>SCR</t>
  </si>
  <si>
    <t>ALK</t>
  </si>
  <si>
    <t>ALKY</t>
  </si>
  <si>
    <t>CPD</t>
  </si>
  <si>
    <t>CRU</t>
  </si>
  <si>
    <t>DCU</t>
  </si>
  <si>
    <t>ETD</t>
  </si>
  <si>
    <t>HTU</t>
  </si>
  <si>
    <t>RPS</t>
  </si>
  <si>
    <t>SPW</t>
  </si>
  <si>
    <t>SRP</t>
  </si>
  <si>
    <t>02_IPS_01</t>
  </si>
  <si>
    <t>SIS</t>
  </si>
  <si>
    <t>Honeywell SM</t>
  </si>
  <si>
    <t>03_IPS_01</t>
  </si>
  <si>
    <t>05_IPS_01_02</t>
  </si>
  <si>
    <t>06_IPS_01</t>
  </si>
  <si>
    <t>14_IPS_01</t>
  </si>
  <si>
    <t>43_IPS_01</t>
  </si>
  <si>
    <t>81_IPS_01_B10</t>
  </si>
  <si>
    <t>81_IPS_01_BO7</t>
  </si>
  <si>
    <t>81_IPS_01_BO8</t>
  </si>
  <si>
    <t>81_IPS_01_BO9</t>
  </si>
  <si>
    <t>LCN1</t>
  </si>
  <si>
    <t>Honeywell TPS</t>
  </si>
  <si>
    <t>LCN3</t>
  </si>
  <si>
    <t>LCN4</t>
  </si>
  <si>
    <t>LCN5</t>
  </si>
  <si>
    <t>LCN6</t>
  </si>
  <si>
    <t>North</t>
  </si>
  <si>
    <t>South</t>
  </si>
  <si>
    <t>ISOM_DRYER</t>
  </si>
  <si>
    <t>Modicon ProWorx32</t>
  </si>
  <si>
    <t>Historian</t>
  </si>
  <si>
    <t>OSISoft PI</t>
  </si>
  <si>
    <t>75_PLC_9354</t>
  </si>
  <si>
    <t>80PLC_9052</t>
  </si>
  <si>
    <t>72_PLC_102</t>
  </si>
  <si>
    <t>72_PLC_103</t>
  </si>
  <si>
    <t>77PLC150</t>
  </si>
  <si>
    <t>77PLC151</t>
  </si>
  <si>
    <t>77PLC152</t>
  </si>
  <si>
    <t>79PLC102</t>
  </si>
  <si>
    <t>79PLC104</t>
  </si>
  <si>
    <t>RTU</t>
  </si>
  <si>
    <t>Schweitzer Relays</t>
  </si>
  <si>
    <t>03SPLC0001</t>
  </si>
  <si>
    <t>Triconex TS1131</t>
  </si>
  <si>
    <t>05SPLC0002</t>
  </si>
  <si>
    <t>06SPLC0003</t>
  </si>
  <si>
    <t>11SPLC0008</t>
  </si>
  <si>
    <t>11SPLC0011</t>
  </si>
  <si>
    <t>11SPLC0024</t>
  </si>
  <si>
    <t>19SPLC0018</t>
  </si>
  <si>
    <t>22SPLC0026</t>
  </si>
  <si>
    <t>22SPLC0027</t>
  </si>
  <si>
    <t>23SPLC0009</t>
  </si>
  <si>
    <t>23SPLC0012</t>
  </si>
  <si>
    <t>25SPLC0025</t>
  </si>
  <si>
    <t>27SPLC0034</t>
  </si>
  <si>
    <t>31SPLC0031</t>
  </si>
  <si>
    <t>34SPLC0034</t>
  </si>
  <si>
    <t>51SPLC0033</t>
  </si>
  <si>
    <t>57SPLC0015</t>
  </si>
  <si>
    <t>57SPLC0016</t>
  </si>
  <si>
    <t>61SPLC0021</t>
  </si>
  <si>
    <t>61SPLC0022</t>
  </si>
  <si>
    <t>61SPLC0023</t>
  </si>
  <si>
    <t>63SPLC0020</t>
  </si>
  <si>
    <t>67SPLC0006</t>
  </si>
  <si>
    <t>67SPLC0007</t>
  </si>
  <si>
    <t>67SPLC0029</t>
  </si>
  <si>
    <t>70SPLC0013</t>
  </si>
  <si>
    <t>80SPLC0005</t>
  </si>
  <si>
    <t>80SPLC0014</t>
  </si>
  <si>
    <t>81SPLC0005</t>
  </si>
  <si>
    <t>81SPLC0019</t>
  </si>
  <si>
    <t>NGC</t>
  </si>
  <si>
    <t>03_IPS_02</t>
  </si>
  <si>
    <t>03_IPS_03</t>
  </si>
  <si>
    <t>03_IPS_04</t>
  </si>
  <si>
    <t>03_IPS_05</t>
  </si>
  <si>
    <t>03_IPS_06</t>
  </si>
  <si>
    <t>07_300_750</t>
  </si>
  <si>
    <t>07_600_700</t>
  </si>
  <si>
    <t>11_13_26_41_SIS_01</t>
  </si>
  <si>
    <t>12_42_SIS_01</t>
  </si>
  <si>
    <t>42_IPS_05</t>
  </si>
  <si>
    <t>45_IPS_01</t>
  </si>
  <si>
    <t>Cogen_PAC_A</t>
  </si>
  <si>
    <t>Woodward GAP</t>
  </si>
  <si>
    <t>Woodward</t>
  </si>
  <si>
    <t>GAP</t>
  </si>
  <si>
    <t>Cogen_PAC_B</t>
  </si>
  <si>
    <t>Cogen_STG</t>
  </si>
  <si>
    <t>Vendor</t>
  </si>
  <si>
    <t>Aspen</t>
  </si>
  <si>
    <t>DMCplus</t>
  </si>
  <si>
    <t>ABB Freelance</t>
  </si>
  <si>
    <t>ABB</t>
  </si>
  <si>
    <t>Freelance</t>
  </si>
  <si>
    <t>ABB Harmony</t>
  </si>
  <si>
    <t>Harmony</t>
  </si>
  <si>
    <t>ABB Symphony Plus</t>
  </si>
  <si>
    <t>SymphonyPlus</t>
  </si>
  <si>
    <t>Dow MOD5</t>
  </si>
  <si>
    <t>Dow</t>
  </si>
  <si>
    <t>MOD5</t>
  </si>
  <si>
    <t>Emerson DeltaV</t>
  </si>
  <si>
    <t>Emerson</t>
  </si>
  <si>
    <t>EE</t>
  </si>
  <si>
    <t>DeltaV</t>
  </si>
  <si>
    <t>Emerson Ovation</t>
  </si>
  <si>
    <t>Ovation</t>
  </si>
  <si>
    <t>Honeywell</t>
  </si>
  <si>
    <t>HW</t>
  </si>
  <si>
    <t>EPKS</t>
  </si>
  <si>
    <t>TPS</t>
  </si>
  <si>
    <t>Invensys CTS</t>
  </si>
  <si>
    <t>Schneider</t>
  </si>
  <si>
    <t>SE</t>
  </si>
  <si>
    <t>CTS</t>
  </si>
  <si>
    <t>Invensys FoxIA</t>
  </si>
  <si>
    <t>FoxIA</t>
  </si>
  <si>
    <t>Invensys Infusion</t>
  </si>
  <si>
    <t>Infusion</t>
  </si>
  <si>
    <t>Schneider Foxboro Evo</t>
  </si>
  <si>
    <t>FoxboroEvo</t>
  </si>
  <si>
    <t>Siemens PCS7</t>
  </si>
  <si>
    <t>Siemens</t>
  </si>
  <si>
    <t>SI</t>
  </si>
  <si>
    <t>PCS7</t>
  </si>
  <si>
    <t>Siemens T3000</t>
  </si>
  <si>
    <t>T3000</t>
  </si>
  <si>
    <t>Yokogawa Centum CS3000</t>
  </si>
  <si>
    <t>Yokogawa</t>
  </si>
  <si>
    <t>YKGW</t>
  </si>
  <si>
    <t>CentumCS3000</t>
  </si>
  <si>
    <t>Yokogawa Centum VP</t>
  </si>
  <si>
    <t>CentumVP</t>
  </si>
  <si>
    <t>PAS</t>
  </si>
  <si>
    <t>Aspen IP21</t>
  </si>
  <si>
    <t>AZPN</t>
  </si>
  <si>
    <t>IP21</t>
  </si>
  <si>
    <t>OSI</t>
  </si>
  <si>
    <t>PI</t>
  </si>
  <si>
    <t>HW PHD</t>
  </si>
  <si>
    <t>HWL</t>
  </si>
  <si>
    <t>PHD</t>
  </si>
  <si>
    <t>HMI</t>
  </si>
  <si>
    <t>WonderWare InTouch</t>
  </si>
  <si>
    <t>InTouch</t>
  </si>
  <si>
    <t>MISC</t>
  </si>
  <si>
    <t>GE Alspa</t>
  </si>
  <si>
    <t>GE</t>
  </si>
  <si>
    <t>Alspa</t>
  </si>
  <si>
    <t>HIMA ELOP II</t>
  </si>
  <si>
    <t>HIMA</t>
  </si>
  <si>
    <t>ELOPII</t>
  </si>
  <si>
    <t>Honeywell Intuition Executive</t>
  </si>
  <si>
    <t>IntuitionExecutive</t>
  </si>
  <si>
    <t>Honeywell Intuition Forms</t>
  </si>
  <si>
    <t>IntuitionForms</t>
  </si>
  <si>
    <t>Honeywell RMPCT</t>
  </si>
  <si>
    <t>RMPCT</t>
  </si>
  <si>
    <t>HWL PHD</t>
  </si>
  <si>
    <t>Intergraph INtools</t>
  </si>
  <si>
    <t>Integraph</t>
  </si>
  <si>
    <t>INtools</t>
  </si>
  <si>
    <t>Intergraph Smart Instrumentation</t>
  </si>
  <si>
    <t>SmartIntrument</t>
  </si>
  <si>
    <t>PAS Sensor Data Integrity</t>
  </si>
  <si>
    <t>SDI</t>
  </si>
  <si>
    <t>SKF Aptitude Observer</t>
  </si>
  <si>
    <t>SKF</t>
  </si>
  <si>
    <t>AptitudeObserver</t>
  </si>
  <si>
    <t>NetworkDevices</t>
  </si>
  <si>
    <t>PAS Network Devices</t>
  </si>
  <si>
    <t>SNMP Network Devices</t>
  </si>
  <si>
    <t>SNMP_NetworkDevices</t>
  </si>
  <si>
    <t>Recon</t>
  </si>
  <si>
    <t>PAS Recon</t>
  </si>
  <si>
    <t>PLC5</t>
  </si>
  <si>
    <t>SLC500</t>
  </si>
  <si>
    <t>ABB 800xA</t>
  </si>
  <si>
    <t>800xA</t>
  </si>
  <si>
    <t>GE Fanuc 90</t>
  </si>
  <si>
    <t>Fanuc90</t>
  </si>
  <si>
    <t>GE Proficy ME</t>
  </si>
  <si>
    <t>ProficyME</t>
  </si>
  <si>
    <t>Modicon Proworx</t>
  </si>
  <si>
    <t>Proworx</t>
  </si>
  <si>
    <t>ProWorx32</t>
  </si>
  <si>
    <t>Rockwell FactoryTalk AssetCentre</t>
  </si>
  <si>
    <t>ROK</t>
  </si>
  <si>
    <t>AssetCentre</t>
  </si>
  <si>
    <t>Rockwell Studio 5000</t>
  </si>
  <si>
    <t>Studio5000</t>
  </si>
  <si>
    <t>Schneider Unity Pro</t>
  </si>
  <si>
    <t>UnityPro</t>
  </si>
  <si>
    <t>Siemens S7 400</t>
  </si>
  <si>
    <t>S7_400</t>
  </si>
  <si>
    <t>ScHWLeitzer Relays</t>
  </si>
  <si>
    <t>ScHWLeitzer</t>
  </si>
  <si>
    <t>SEL</t>
  </si>
  <si>
    <t>Relays</t>
  </si>
  <si>
    <t>SCADA</t>
  </si>
  <si>
    <t>GE Cimplicity</t>
  </si>
  <si>
    <t>Cimplicity</t>
  </si>
  <si>
    <t>Honeywell FSC</t>
  </si>
  <si>
    <t>FSC</t>
  </si>
  <si>
    <t>Honeywell LM</t>
  </si>
  <si>
    <t>LM</t>
  </si>
  <si>
    <t>SM</t>
  </si>
  <si>
    <t>ICS Triplex Trusted</t>
  </si>
  <si>
    <t>TriplexTrusted</t>
  </si>
  <si>
    <t>Triconex MSW</t>
  </si>
  <si>
    <t>MSW</t>
  </si>
  <si>
    <t>TRX</t>
  </si>
  <si>
    <t>Yokogawa Prosafe RS</t>
  </si>
  <si>
    <t>ProsafeRS</t>
  </si>
  <si>
    <t>IQ</t>
  </si>
  <si>
    <t>GE Mark V</t>
  </si>
  <si>
    <t>MarkV</t>
  </si>
  <si>
    <t>GE Mark VI</t>
  </si>
  <si>
    <t>MarkVI</t>
  </si>
  <si>
    <t>MarkVIe</t>
  </si>
  <si>
    <t>Bently</t>
  </si>
  <si>
    <t>BN3500</t>
  </si>
  <si>
    <t>Drive</t>
  </si>
  <si>
    <t>DCS Models</t>
  </si>
  <si>
    <t>Manual Models</t>
  </si>
  <si>
    <t>MISC Models</t>
  </si>
  <si>
    <t>NetworkDevices Models</t>
  </si>
  <si>
    <t>PLC Models</t>
  </si>
  <si>
    <t>Recon Models</t>
  </si>
  <si>
    <t>RTU Models</t>
  </si>
  <si>
    <t>SCADA Models</t>
  </si>
  <si>
    <t>SIS Models</t>
  </si>
  <si>
    <t>TCS Models</t>
  </si>
  <si>
    <t>VMS Models</t>
  </si>
  <si>
    <t>APC Models</t>
  </si>
  <si>
    <t>FGS Models</t>
  </si>
  <si>
    <t>Historian Models</t>
  </si>
  <si>
    <t>C</t>
  </si>
  <si>
    <t>D</t>
  </si>
  <si>
    <t>Honeywell AFM</t>
  </si>
  <si>
    <t>F</t>
  </si>
  <si>
    <t>Honeywell BCM</t>
  </si>
  <si>
    <t>PAS PlantState Configuration</t>
  </si>
  <si>
    <t>G</t>
  </si>
  <si>
    <t>Emerson – AMS</t>
  </si>
  <si>
    <t>H</t>
  </si>
  <si>
    <t>Honeywell FDM</t>
  </si>
  <si>
    <t>FGS</t>
  </si>
  <si>
    <t>Yokogawa PRM</t>
  </si>
  <si>
    <t>Siemens TIA Portal</t>
  </si>
  <si>
    <t>WIL</t>
  </si>
  <si>
    <t>ANLZ_03PLC_9026</t>
  </si>
  <si>
    <t>CAR</t>
  </si>
  <si>
    <t>ANLZ_03PLC_9316</t>
  </si>
  <si>
    <t>ANLZ_03PLC_9322</t>
  </si>
  <si>
    <t>WCC</t>
  </si>
  <si>
    <t>ANLZ_03PLC_9336</t>
  </si>
  <si>
    <t>ANLZ_05PLC_9342</t>
  </si>
  <si>
    <t>ANLZ_05PLC_9343</t>
  </si>
  <si>
    <t>ANLZ_05PLC_9344</t>
  </si>
  <si>
    <t>ANLZ_05PLC_9355</t>
  </si>
  <si>
    <t>ANLZ_11PLC_9025</t>
  </si>
  <si>
    <t>ANLZ_11PLC_9035</t>
  </si>
  <si>
    <t>ANLZ_11PLC_9062</t>
  </si>
  <si>
    <t>ANLZ_11PLC_9315</t>
  </si>
  <si>
    <t>ANLZ_11PLC_9324</t>
  </si>
  <si>
    <t>ANLZ_11PLC_9334</t>
  </si>
  <si>
    <t>ANLZ_19PLC_9044</t>
  </si>
  <si>
    <t>ANLZ_21PLC_9332</t>
  </si>
  <si>
    <t>ANLZ_21PLC_9333</t>
  </si>
  <si>
    <t>ANLZ_21PLC_9334</t>
  </si>
  <si>
    <t>ANLZ_22PLC_0036</t>
  </si>
  <si>
    <t>ANLZ_22PLC_0037</t>
  </si>
  <si>
    <t>ANLZ_22PLC_9030</t>
  </si>
  <si>
    <t>ANLZ_23PLC_9040</t>
  </si>
  <si>
    <t>ANLZ_23PLC_9317</t>
  </si>
  <si>
    <t>ANLZ_23PLC_9323</t>
  </si>
  <si>
    <t>ANLZ_29PLC_9037</t>
  </si>
  <si>
    <t>ANLZ_31PLC_9028</t>
  </si>
  <si>
    <t>ANLZ_31PLC_9036</t>
  </si>
  <si>
    <t>ANLZ_31PLC_9533</t>
  </si>
  <si>
    <t>ANLZ_32PLC_9045</t>
  </si>
  <si>
    <t>ANLZ_34PLC_9349</t>
  </si>
  <si>
    <t>ANLZ_51PLC_9031</t>
  </si>
  <si>
    <t>ANLZ_52PLC_9350</t>
  </si>
  <si>
    <t>ANLZ_61PLC_9041</t>
  </si>
  <si>
    <t>ANLZ_63PLC_9042</t>
  </si>
  <si>
    <t>ANLZ_68PLC_9029</t>
  </si>
  <si>
    <t>ANLZ_68PLC_9069</t>
  </si>
  <si>
    <t>ANLZ_68PLC_9353</t>
  </si>
  <si>
    <t>ANLZ_70PLC_9313</t>
  </si>
  <si>
    <t>ANLZ_70PLC_9335</t>
  </si>
  <si>
    <t>ANLZ_73PLC_9023</t>
  </si>
  <si>
    <t>ANLZ_73PLC_9307</t>
  </si>
  <si>
    <t>ANLZ_73PLC_9339</t>
  </si>
  <si>
    <t>ANLZ_73PLC_9341</t>
  </si>
  <si>
    <t>ANLZ_73PLC_9345</t>
  </si>
  <si>
    <t>ANLZ_73PLC_9510</t>
  </si>
  <si>
    <t>ANLZ_73PLC_9511</t>
  </si>
  <si>
    <t>ANLZ_73PLC_9513</t>
  </si>
  <si>
    <t>ANLZ_73PLC_9514</t>
  </si>
  <si>
    <t>ANLZ_80PLC_9038</t>
  </si>
  <si>
    <t>ANLZ_80PLC_9314</t>
  </si>
  <si>
    <t>ANLZ_80PLC_9321</t>
  </si>
  <si>
    <t>ANLZ_80PLC_9326</t>
  </si>
  <si>
    <t>ANLZ_84PLC_9039</t>
  </si>
  <si>
    <t>ANLZ_84PLC_9319</t>
  </si>
  <si>
    <t>ANLZ_84PLC_9356</t>
  </si>
  <si>
    <t>ANLZ_B_1601_CEMS</t>
  </si>
  <si>
    <t>ANLZ_B_7_8_AND_B_9_10_CEMS</t>
  </si>
  <si>
    <t>ANLZ_Blender_Analyzers</t>
  </si>
  <si>
    <t>ANLZ_Blender_data_conc</t>
  </si>
  <si>
    <t>ANLZ_BO_1_CEMS</t>
  </si>
  <si>
    <t>ANLZ_COG_A_CEMS</t>
  </si>
  <si>
    <t>ANLZ_COG_B_CEMS</t>
  </si>
  <si>
    <t>ANLZ_Cogen_91_Exhaust_Nox</t>
  </si>
  <si>
    <t>ANLZ_Cogen_91_Train_CEMS</t>
  </si>
  <si>
    <t>ANLZ_Cogen_92_Exhaust_Nox</t>
  </si>
  <si>
    <t>ANLZ_Cogen_92_Train_CEMS</t>
  </si>
  <si>
    <t>ANLZ_Cogen_93_Exhaust_Nox</t>
  </si>
  <si>
    <t>ANLZ_Cogen_93_Train_CEMS</t>
  </si>
  <si>
    <t>ANLZ_Cogen_94_Exhaust_Nox</t>
  </si>
  <si>
    <t>ANLZ_Cogen_94_Train_CEMS</t>
  </si>
  <si>
    <t>ANLZ_Cogen_Fuel_Gas_GC_PLC</t>
  </si>
  <si>
    <t>ANLZ_CPD_SUB_10</t>
  </si>
  <si>
    <t>ANLZ_F_704_CEMS</t>
  </si>
  <si>
    <t>ANLZ_FCCU_SUB_8</t>
  </si>
  <si>
    <t>ANLZ_H_1_CEMS</t>
  </si>
  <si>
    <t>ANLZ_H_100_CEMS</t>
  </si>
  <si>
    <t>ANLZ_H_100_CEMS_Safety_PLC</t>
  </si>
  <si>
    <t>ANLZ_H_101_CEMS</t>
  </si>
  <si>
    <t>ANLZ_H_200_CEMS</t>
  </si>
  <si>
    <t>ANLZ_H_203_CEMS</t>
  </si>
  <si>
    <t>ANLZ_H_21_22_AND_H_30_CEMS</t>
  </si>
  <si>
    <t>ANLZ_H_3_4_CEMS</t>
  </si>
  <si>
    <t>ANLZ_H_300_CEMS</t>
  </si>
  <si>
    <t>ANLZ_H_302_CEMS</t>
  </si>
  <si>
    <t>ANLZ_H_304_CEMS</t>
  </si>
  <si>
    <t>ANLZ_H_31_CEMS</t>
  </si>
  <si>
    <t>ANLZ_H_41_CEMS</t>
  </si>
  <si>
    <t>ANLZ_H_41_CEMS_Safety_PLC</t>
  </si>
  <si>
    <t>ANLZ_H_42_CEMS</t>
  </si>
  <si>
    <t>ANLZ_H_42_CEMS_Safety_PLC</t>
  </si>
  <si>
    <t>ANLZ_H_500_CEMS</t>
  </si>
  <si>
    <t>ANLZ_H_501_CEMS</t>
  </si>
  <si>
    <t>ANLZ_H_501_CEMS_Safety_PLC</t>
  </si>
  <si>
    <t>ANLZ_H_510_CEMS</t>
  </si>
  <si>
    <t>ANLZ_HGU2_SUB_9</t>
  </si>
  <si>
    <t>ANLZ_HPD_Rack_Room_data_conc</t>
  </si>
  <si>
    <t>ANLZ_LACSD_Waste_water</t>
  </si>
  <si>
    <t>ANLZ_LAR_Flare</t>
  </si>
  <si>
    <t>ANLZ_OLD_CRU2_CtrlRoomDataConc</t>
  </si>
  <si>
    <t>ANLZ_REGEN_CEMS_</t>
  </si>
  <si>
    <t>ANLZ_SACR_data_conc</t>
  </si>
  <si>
    <t>ANLZ_SRP_CtrlRackRoomDataconc</t>
  </si>
  <si>
    <t>ANLZ_SRP_Flare</t>
  </si>
  <si>
    <t>MainStationBusA</t>
  </si>
  <si>
    <t>AMS</t>
  </si>
  <si>
    <t>Emerson AMS</t>
  </si>
  <si>
    <t>LAR</t>
  </si>
  <si>
    <t>ESVT1</t>
  </si>
  <si>
    <t>ESVT3</t>
  </si>
  <si>
    <t>ESVT4</t>
  </si>
  <si>
    <t>ESVT5</t>
  </si>
  <si>
    <t>ESVT6</t>
  </si>
  <si>
    <t>ESVT2</t>
  </si>
  <si>
    <t>LAR_CAR_ManualInventory</t>
  </si>
  <si>
    <t>LAR_WCC_ManualInventory</t>
  </si>
  <si>
    <t>LAR_WIL_ManualInventory</t>
  </si>
  <si>
    <t>LAR_CAR_PLC_AB_CtrLogix_17PLC_9057</t>
  </si>
  <si>
    <t>LAR_CAR_PLC_AB_CtrLogix_61PLC_9337</t>
  </si>
  <si>
    <t>LAR_CAR_PLC_AB_CtrLogix_61PLC_9347</t>
  </si>
  <si>
    <t>LAR_CAR_PLC_AB_CtrLogix_61PLC_9348</t>
  </si>
  <si>
    <t>LAR_CAR_PLC_AB_CtrLogix_70PLC_9318</t>
  </si>
  <si>
    <t>LAR_CAR_PLC_AB_CtrLogix_70PLC_9325</t>
  </si>
  <si>
    <t>LAR_CAR_PLC_AB_CtrLogix_73PLC_9330</t>
  </si>
  <si>
    <t>LAR_CAR_PLC_AB_CtrLogix_74PLC_9338</t>
  </si>
  <si>
    <t>LAR_CAR_PLC_AB_CtrLogix_75_PLC_9354</t>
  </si>
  <si>
    <t>LAR_CAR_PLC_AB_CtrLogix_75PLC_9333</t>
  </si>
  <si>
    <t>LAR_CAR_PLC_AB_CtrLogix_80PLC_9052</t>
  </si>
  <si>
    <t>LAR_CAR_PLC_AB_CtrLogix_82PLC_9332</t>
  </si>
  <si>
    <t>LAR_CAR_PLC_AB_CtrLogix_84PLC_9308</t>
  </si>
  <si>
    <t>LAR_CAR_PLC_AB_CtrLogix_84PLC_9309</t>
  </si>
  <si>
    <t>LAR_CAR_PLC_AB_CtrLogix_84PLC_9310</t>
  </si>
  <si>
    <t>LAR_CAR_PLC_AB_CtrLogix_84PLC_9311</t>
  </si>
  <si>
    <t>LAR_CAR_PLC_AB_CtrLogix_84PLC_9312</t>
  </si>
  <si>
    <t>LAR_CAR_PLC_AB_CtrLogix_87PLC_9340</t>
  </si>
  <si>
    <t>LAR_CAR_PLC_AB_CtrLogix_88PLC_9329</t>
  </si>
  <si>
    <t>LAR_CAR_PLC_AB_CtrLogix_98PLC_9327</t>
  </si>
  <si>
    <t>LAR_CAR_PLC_AB_CtrLogix_98PLC_9328</t>
  </si>
  <si>
    <t>LAR_CAR_PLC_AB_CtrLogix_ANLZ_03PLC_9316</t>
  </si>
  <si>
    <t>LAR_CAR_PLC_AB_CtrLogix_ANLZ_03PLC_9322</t>
  </si>
  <si>
    <t>LAR_CAR_PLC_AB_CtrLogix_ANLZ_11PLC_9315</t>
  </si>
  <si>
    <t>LAR_CAR_PLC_AB_CtrLogix_ANLZ_11PLC_9324</t>
  </si>
  <si>
    <t>LAR_CAR_PLC_AB_CtrLogix_ANLZ_23PLC_9317</t>
  </si>
  <si>
    <t>LAR_CAR_PLC_AB_CtrLogix_ANLZ_23PLC_9323</t>
  </si>
  <si>
    <t>LAR_CAR_PLC_AB_CtrLogix_ANLZ_70PLC_9313</t>
  </si>
  <si>
    <t>LAR_CAR_PLC_AB_CtrLogix_ANLZ_73PLC_9307</t>
  </si>
  <si>
    <t>LAR_CAR_PLC_AB_CtrLogix_ANLZ_80PLC_9314</t>
  </si>
  <si>
    <t>LAR_CAR_PLC_AB_CtrLogix_ANLZ_80PLC_9321</t>
  </si>
  <si>
    <t>LAR_CAR_PLC_AB_CtrLogix_ANLZ_84PLC_9319</t>
  </si>
  <si>
    <t>LAR_WCC_PLC_AB_CtrLogix_ANLZ_03PLC_9336</t>
  </si>
  <si>
    <t>LAR_WCC_PLC_AB_CtrLogix_ANLZ_05PLC_9342</t>
  </si>
  <si>
    <t>LAR_WCC_PLC_AB_CtrLogix_ANLZ_05PLC_9343</t>
  </si>
  <si>
    <t>LAR_WCC_PLC_AB_CtrLogix_ANLZ_05PLC_9344</t>
  </si>
  <si>
    <t>LAR_WCC_PLC_AB_CtrLogix_ANLZ_11PLC_9334</t>
  </si>
  <si>
    <t>LAR_WCC_PLC_AB_CtrLogix_ANLZ_34PLC_9349</t>
  </si>
  <si>
    <t>LAR_WCC_PLC_AB_CtrLogix_ANLZ_52PLC_9350</t>
  </si>
  <si>
    <t>LAR_WCC_PLC_AB_CtrLogix_ANLZ_68PLC_9069</t>
  </si>
  <si>
    <t>LAR_WCC_PLC_AB_CtrLogix_ANLZ_68PLC_9353</t>
  </si>
  <si>
    <t>LAR_WCC_PLC_AB_CtrLogix_ANLZ_70PLC_9335</t>
  </si>
  <si>
    <t>LAR_WCC_PLC_AB_CtrLogix_ANLZ_73PLC_9339</t>
  </si>
  <si>
    <t>LAR_WCC_PLC_AB_CtrLogix_ANLZ_73PLC_9341</t>
  </si>
  <si>
    <t>LAR_WCC_PLC_AB_CtrLogix_ANLZ_73PLC_9345</t>
  </si>
  <si>
    <t>LAR_WCC_PLC_AB_CtrLogix_ANLZ_80PLC_9326</t>
  </si>
  <si>
    <t>LAR_WCC_PLC_AB_CtrLogix_ANLZ_Cogen_91_Exhaust_Nox</t>
  </si>
  <si>
    <t>LAR_WCC_PLC_AB_CtrLogix_ANLZ_Cogen_91_Train_CEMS</t>
  </si>
  <si>
    <t>LAR_WCC_PLC_AB_CtrLogix_ANLZ_Cogen_92_Exhaust_Nox</t>
  </si>
  <si>
    <t>LAR_WCC_PLC_AB_CtrLogix_ANLZ_Cogen_92_Train_CEMS</t>
  </si>
  <si>
    <t>LAR_WCC_PLC_AB_CtrLogix_ANLZ_Cogen_93_Exhaust_Nox</t>
  </si>
  <si>
    <t>LAR_WCC_PLC_AB_CtrLogix_ANLZ_Cogen_93_Train_CEMS</t>
  </si>
  <si>
    <t>LAR_WCC_PLC_AB_CtrLogix_ANLZ_Cogen_94_Exhaust_Nox</t>
  </si>
  <si>
    <t>LAR_WCC_PLC_AB_CtrLogix_ANLZ_Cogen_94_Train_CEMS</t>
  </si>
  <si>
    <t>LAR_WCC_PLC_AB_CtrLogix_ANLZ_Cogen_Fuel_Gas_GC_PLC</t>
  </si>
  <si>
    <t>LAR_WCC_PLC_AB_CtrLogix_GIS_Data_Concentrator</t>
  </si>
  <si>
    <t>LAR_WCC_PLC_AB_CtrLogix_GIS_PLC_Bay1</t>
  </si>
  <si>
    <t>LAR_WCC_PLC_AB_CtrLogix_RGC1</t>
  </si>
  <si>
    <t>LAR_WCC_PLC_AB_CtrLogix_RGC2</t>
  </si>
  <si>
    <t>LAR_WCC_PLC_AB_CtrLogix_Water_Softner</t>
  </si>
  <si>
    <t>LAR_WIL_PLC_AB_CtrLogix_77PLC151</t>
  </si>
  <si>
    <t>LAR_WIL_PLC_AB_CtrLogix_77PLC152</t>
  </si>
  <si>
    <t>LAR_WIL_PLC_AB_CtrLogix_79PLC102</t>
  </si>
  <si>
    <t>LAR_WIL_PLC_AB_CtrLogix_79PLC104</t>
  </si>
  <si>
    <t>LAR_WIL_PLC_AB_CtrLogix_ANLZ_05PLC_9355</t>
  </si>
  <si>
    <t>LAR_WIL_PLC_AB_CtrLogix_ANLZ_21PLC_9332</t>
  </si>
  <si>
    <t>LAR_WIL_PLC_AB_CtrLogix_ANLZ_21PLC_9333</t>
  </si>
  <si>
    <t>LAR_WIL_PLC_AB_CtrLogix_ANLZ_21PLC_9334</t>
  </si>
  <si>
    <t>LAR_WIL_PLC_AB_CtrLogix_ANLZ_22PLC_0036</t>
  </si>
  <si>
    <t>LAR_WIL_PLC_AB_CtrLogix_ANLZ_22PLC_0037</t>
  </si>
  <si>
    <t>LAR_WIL_PLC_AB_CtrLogix_ANLZ_31PLC_9533</t>
  </si>
  <si>
    <t>LAR_WIL_PLC_AB_CtrLogix_ANLZ_84PLC_9356</t>
  </si>
  <si>
    <t>LAR_WIL_PLC_AB_CtrLogix_ANLZ_B_1601_CEMS</t>
  </si>
  <si>
    <t>LAR_WIL_PLC_AB_CtrLogix_ANLZ_Blender_Analyzers</t>
  </si>
  <si>
    <t>LAR_WIL_PLC_AB_CtrLogix_ANLZ_Blender_data_conc</t>
  </si>
  <si>
    <t>LAR_WIL_PLC_AB_CtrLogix_ANLZ_H_1_CEMS</t>
  </si>
  <si>
    <t>LAR_WIL_PLC_AB_CtrLogix_ANLZ_H_100_CEMS</t>
  </si>
  <si>
    <t>LAR_WIL_PLC_AB_CtrLogix_ANLZ_H_100_CEMS_Safety_PLC</t>
  </si>
  <si>
    <t>LAR_WIL_PLC_AB_CtrLogix_ANLZ_H_3_4_CEMS</t>
  </si>
  <si>
    <t>LAR_WIL_PLC_AB_CtrLogix_ANLZ_H_302_CEMS</t>
  </si>
  <si>
    <t>LAR_WIL_PLC_AB_CtrLogix_ANLZ_H_31_CEMS</t>
  </si>
  <si>
    <t>LAR_WIL_PLC_AB_CtrLogix_ANLZ_H_41_CEMS</t>
  </si>
  <si>
    <t>LAR_WIL_PLC_AB_CtrLogix_ANLZ_H_41_CEMS_Safety_PLC</t>
  </si>
  <si>
    <t>LAR_WIL_PLC_AB_CtrLogix_ANLZ_H_42_CEMS</t>
  </si>
  <si>
    <t>LAR_WIL_PLC_AB_CtrLogix_ANLZ_H_42_CEMS_Safety_PLC</t>
  </si>
  <si>
    <t>LAR_WIL_PLC_AB_CtrLogix_ANLZ_H_500_CEMS</t>
  </si>
  <si>
    <t>LAR_WIL_PLC_AB_CtrLogix_ANLZ_H_501_CEMS</t>
  </si>
  <si>
    <t>LAR_WIL_PLC_AB_CtrLogix_ANLZ_H_501_CEMS_Safety_PLC</t>
  </si>
  <si>
    <t>LAR_WIL_PLC_AB_CtrLogix_ANLZ_LACSD_Waste_water</t>
  </si>
  <si>
    <t>LAR_WIL_PLC_AB_CtrLogix_ANLZ_LAR_Flare</t>
  </si>
  <si>
    <t>LAR_WIL_PLC_AB_CtrLogix_ANLZ_SRP_Flare</t>
  </si>
  <si>
    <t>LAR_WIL_PLC_AB_CtrLogix_IB_72AC_612</t>
  </si>
  <si>
    <t>LAR_WIL_PLC_AB_CtrLogix_SRP_Analyzer</t>
  </si>
  <si>
    <t>LAR_WIL_PLC_AB_CtrLogix_SRP_F1402</t>
  </si>
  <si>
    <t>LAR_WIL_PLC_AB_CtrLogix_SRP_F705</t>
  </si>
  <si>
    <t>LAR_WIL_PLC_AB_CtrLogix_SRP_Flare</t>
  </si>
  <si>
    <t>LAR_WIL_PLC_AB_CtrLogix_72_PLC_102</t>
  </si>
  <si>
    <t>LAR_WIL_PLC_AB_CtrLogix_72_PLC_103</t>
  </si>
  <si>
    <t>LAR_WIL_PLC_AB_CtrLogix_77PLC150</t>
  </si>
  <si>
    <t>LAR_CAR_PLC_AB_PLC5_11PLC_9050</t>
  </si>
  <si>
    <t>LAR_CAR_PLC_AB_PLC5_17PLC_9056</t>
  </si>
  <si>
    <t>LAR_CAR_PLC_AB_PLC5_23PLC_9203</t>
  </si>
  <si>
    <t>LAR_CAR_PLC_AB_PLC5_38PLC_9011</t>
  </si>
  <si>
    <t>LAR_CAR_PLC_AB_PLC5_62PLC_9206</t>
  </si>
  <si>
    <t>LAR_CAR_PLC_AB_PLC5_75PLC_9000</t>
  </si>
  <si>
    <t>LAR_CAR_PLC_AB_PLC5_75PLC_9001_30</t>
  </si>
  <si>
    <t>LAR_CAR_PLC_AB_PLC5_75PLC_9001_31</t>
  </si>
  <si>
    <t>LAR_CAR_PLC_AB_PLC5_75PLC_9002</t>
  </si>
  <si>
    <t>LAR_CAR_PLC_AB_PLC5_75PLC_9003</t>
  </si>
  <si>
    <t>LAR_CAR_PLC_AB_PLC5_75PLC_9004</t>
  </si>
  <si>
    <t>LAR_CAR_PLC_AB_PLC5_75PLC_9005</t>
  </si>
  <si>
    <t>LAR_CAR_PLC_AB_PLC5_75PLC_9006</t>
  </si>
  <si>
    <t>LAR_CAR_PLC_AB_PLC5_75PLC_9007</t>
  </si>
  <si>
    <t>LAR_CAR_PLC_AB_PLC5_75PLC_9008</t>
  </si>
  <si>
    <t>LAR_CAR_PLC_AB_PLC5_75PLC_9009</t>
  </si>
  <si>
    <t>LAR_CAR_PLC_AB_PLC5_75PLC_9010</t>
  </si>
  <si>
    <t>LAR_CAR_PLC_AB_PLC5_75PLC_9016</t>
  </si>
  <si>
    <t>LAR_CAR_PLC_AB_PLC5_75PLC_9017</t>
  </si>
  <si>
    <t>LAR_CAR_PLC_AB_PLC5_75PLC_9019</t>
  </si>
  <si>
    <t>LAR_CAR_PLC_AB_PLC5_75PLC_9020</t>
  </si>
  <si>
    <t>LAR_CAR_PLC_AB_PLC5_76PLC</t>
  </si>
  <si>
    <t>LAR_CAR_PLC_AB_PLC5_76PLC_9058</t>
  </si>
  <si>
    <t>LAR_CAR_PLC_AB_PLC5_84PLC_9014</t>
  </si>
  <si>
    <t>LAR_CAR_PLC_AB_PLC5_84PLC_9061</t>
  </si>
  <si>
    <t>LAR_CAR_PLC_AB_PLC5_87PLC_9067</t>
  </si>
  <si>
    <t>LAR_CAR_PLC_AB_PLC5_88PLC_9207</t>
  </si>
  <si>
    <t>LAR_CAR_PLC_AB_PLC5_89PLC_9060</t>
  </si>
  <si>
    <t>LAR_WIL_PLC_AB_PLC5_ANLZ_03PLC_9026</t>
  </si>
  <si>
    <t>LAR_WIL_PLC_AB_PLC5_ANLZ_11PLC_9025</t>
  </si>
  <si>
    <t>LAR_WIL_PLC_AB_PLC5_ANLZ_11PLC_9035</t>
  </si>
  <si>
    <t>LAR_WIL_PLC_AB_PLC5_ANLZ_11PLC_9062</t>
  </si>
  <si>
    <t>LAR_WIL_PLC_AB_PLC5_ANLZ_19PLC_9044</t>
  </si>
  <si>
    <t>LAR_WIL_PLC_AB_PLC5_ANLZ_22PLC_9030</t>
  </si>
  <si>
    <t>LAR_WIL_PLC_AB_PLC5_ANLZ_23PLC_9040</t>
  </si>
  <si>
    <t>LAR_WIL_PLC_AB_PLC5_ANLZ_29PLC_9037</t>
  </si>
  <si>
    <t>LAR_WIL_PLC_AB_PLC5_ANLZ_31PLC_9028</t>
  </si>
  <si>
    <t>LAR_WIL_PLC_AB_PLC5_ANLZ_31PLC_9036</t>
  </si>
  <si>
    <t>LAR_WIL_PLC_AB_PLC5_ANLZ_32PLC_9045</t>
  </si>
  <si>
    <t>LAR_WIL_PLC_AB_PLC5_ANLZ_51PLC_9031</t>
  </si>
  <si>
    <t>LAR_WIL_PLC_AB_PLC5_ANLZ_61PLC_9041</t>
  </si>
  <si>
    <t>LAR_WIL_PLC_AB_PLC5_ANLZ_63PLC_9042</t>
  </si>
  <si>
    <t>LAR_WIL_PLC_AB_PLC5_ANLZ_68PLC_9029</t>
  </si>
  <si>
    <t>LAR_WIL_PLC_AB_PLC5_ANLZ_73PLC_9023</t>
  </si>
  <si>
    <t>LAR_WIL_PLC_AB_PLC5_ANLZ_80PLC_9038</t>
  </si>
  <si>
    <t>LAR_WIL_PLC_AB_PLC5_ANLZ_84PLC_9039</t>
  </si>
  <si>
    <t>LAR_WIL_PLC_AB_PLC5_ANLZ_CPD_SUB_10</t>
  </si>
  <si>
    <t>LAR_WIL_PLC_AB_PLC5_ANLZ_FCCU_SUB_8</t>
  </si>
  <si>
    <t>LAR_WIL_PLC_AB_PLC5_ANLZ_HGU2_SUB_9</t>
  </si>
  <si>
    <t>LAR_WIL_PLC_AB_PLC5_ANLZ_HPD_Rack_Room_data_conc</t>
  </si>
  <si>
    <t>LAR_WIL_PLC_AB_PLC5_ANLZ_OLD_CRU2_CtrlRoomDataConc</t>
  </si>
  <si>
    <t>LAR_WIL_PLC_AB_PLC5_ANLZ_SACR_data_conc</t>
  </si>
  <si>
    <t>LAR_WIL_PLC_AB_PLC5_ANLZ_SRP_CtrlRackRoomDataconc</t>
  </si>
  <si>
    <t>LAR_CAR_PLC_AB_SLC500_11PLC_9527</t>
  </si>
  <si>
    <t>LAR_CAR_PLC_AB_SLC500_11PLC_9528</t>
  </si>
  <si>
    <t>LAR_CAR_PLC_AB_SLC500_11PLC_9529</t>
  </si>
  <si>
    <t>LAR_CAR_PLC_AB_SLC500_17PLC_9526</t>
  </si>
  <si>
    <t>LAR_CAR_PLC_AB_SLC500_38PLC_9901D</t>
  </si>
  <si>
    <t>LAR_CAR_PLC_AB_SLC500_40PLC_9901E</t>
  </si>
  <si>
    <t>LAR_CAR_PLC_AB_SLC500_44PLC_9911</t>
  </si>
  <si>
    <t>LAR_CAR_PLC_AB_SLC500_74PLC_9530</t>
  </si>
  <si>
    <t>LAR_CAR_PLC_AB_SLC500_74PLC_9531</t>
  </si>
  <si>
    <t>LAR_CAR_PLC_AB_SLC500_80PLC_9901B</t>
  </si>
  <si>
    <t>LAR_CAR_PLC_AB_SLC500_81PLC_9901C</t>
  </si>
  <si>
    <t>LAR_CAR_PLC_AB_SLC500_83PLC_9013</t>
  </si>
  <si>
    <t>LAR_CAR_PLC_AB_SLC500_83PLC_9534</t>
  </si>
  <si>
    <t>LAR_CAR_PLC_AB_SLC500_84PLC_9535</t>
  </si>
  <si>
    <t>LAR_CAR_PLC_AB_SLC500_ANLZ_73PLC_9514</t>
  </si>
  <si>
    <t>LAR_CAR_PLC_AB_SLC500_Coker_Unit_Danger</t>
  </si>
  <si>
    <t>LAR_CAR_PLC_AB_SLC500_Sulfur_Unit_Danger</t>
  </si>
  <si>
    <t>LAR_WCC_PLC_AB_SLC500_Fuel_Transfer</t>
  </si>
  <si>
    <t>LAR_WCC_PLC_AB_SLC500_Hot_Lime_Injection</t>
  </si>
  <si>
    <t>LAR_WCC_PLC_AB_SLC500_WCC_91_Fog_Skid</t>
  </si>
  <si>
    <t>LAR_WCC_PLC_AB_SLC500_WCC_93_Fog_Skid</t>
  </si>
  <si>
    <t>LAR_WCC_PLC_AB_SLC500_WCC_94_Fog_Skid</t>
  </si>
  <si>
    <t>LAR_WCC_PLC_AB_SLC500_Butane_Blower</t>
  </si>
  <si>
    <t>LAR_WIL_PLC_AB_SLC500_45LCP_01A</t>
  </si>
  <si>
    <t>LAR_WIL_PLC_AB_SLC500_45LCP_02</t>
  </si>
  <si>
    <t>LAR_WIL_PLC_AB_SLC500_ANLZ_73PLC_9510</t>
  </si>
  <si>
    <t>LAR_WIL_PLC_AB_SLC500_ANLZ_73PLC_9511</t>
  </si>
  <si>
    <t>LAR_WIL_PLC_AB_SLC500_ANLZ_73PLC_9513</t>
  </si>
  <si>
    <t>LAR_WIL_PLC_AB_SLC500_ANLZ_B_7_8_AND_B_9_10_CEMS</t>
  </si>
  <si>
    <t>LAR_WIL_PLC_AB_SLC500_ANLZ_BO_1_CEMS</t>
  </si>
  <si>
    <t>LAR_WIL_PLC_AB_SLC500_ANLZ_COG_A_CEMS</t>
  </si>
  <si>
    <t>LAR_WIL_PLC_AB_SLC500_ANLZ_COG_B_CEMS</t>
  </si>
  <si>
    <t>LAR_WIL_PLC_AB_SLC500_ANLZ_F_704_CEMS</t>
  </si>
  <si>
    <t>LAR_WIL_PLC_AB_SLC500_ANLZ_H_101_CEMS</t>
  </si>
  <si>
    <t>LAR_WIL_PLC_AB_SLC500_ANLZ_H_200_CEMS</t>
  </si>
  <si>
    <t>LAR_WIL_PLC_AB_SLC500_ANLZ_H_203_CEMS</t>
  </si>
  <si>
    <t>LAR_WIL_PLC_AB_SLC500_ANLZ_H_21_22_AND_H_30_CEMS</t>
  </si>
  <si>
    <t>LAR_WIL_PLC_AB_SLC500_ANLZ_H_300_CEMS</t>
  </si>
  <si>
    <t>LAR_WIL_PLC_AB_SLC500_ANLZ_H_304_CEMS</t>
  </si>
  <si>
    <t>LAR_WIL_PLC_AB_SLC500_ANLZ_H_510_CEMS</t>
  </si>
  <si>
    <t>LAR_WIL_PLC_AB_SLC500_ANLZ_REGEN_CEMS_</t>
  </si>
  <si>
    <t>LAR_WIL_PLC_AB_SLC500_C_164_Chiller</t>
  </si>
  <si>
    <t>LAR_WIL_PLC_AB_SLC500_Flare_Gas_Sample</t>
  </si>
  <si>
    <t>LAR_WIL_PLC_AB_SLC500_NH3_CTRL_PAC_Mee_Inj_Sys</t>
  </si>
  <si>
    <t>LAR_WIL_PLC_AB_SLC500_Water_Softner</t>
  </si>
  <si>
    <t>LAR_CAR_APC_Aspen_DMCplus_North_dib</t>
  </si>
  <si>
    <t>LAR_CAR_APC_Aspen_DMCplus_North_fcc1deprop</t>
  </si>
  <si>
    <t>LAR_CAR_APC_Aspen_DMCplus_North_fccdehex</t>
  </si>
  <si>
    <t>LAR_CAR_APC_Aspen_DMCplus_North_fccu</t>
  </si>
  <si>
    <t>LAR_CAR_APC_Aspen_DMCplus_North_ffhds</t>
  </si>
  <si>
    <t>LAR_CAR_APC_Aspen_DMCplus_North_gasplant</t>
  </si>
  <si>
    <t>LAR_CAR_APC_Aspen_DMCplus_North_h2plt</t>
  </si>
  <si>
    <t>LAR_CAR_APC_Aspen_DMCplus_North_hcu</t>
  </si>
  <si>
    <t>LAR_CAR_APC_Aspen_DMCplus_North_ref2</t>
  </si>
  <si>
    <t>LAR_CAR_APC_Aspen_DMCplus_South_acid</t>
  </si>
  <si>
    <t>LAR_CAR_APC_Aspen_DMCplus_South_alkdeb</t>
  </si>
  <si>
    <t>LAR_CAR_APC_Aspen_DMCplus_South_alky</t>
  </si>
  <si>
    <t>LAR_CAR_APC_Aspen_DMCplus_South_C3SPLT</t>
  </si>
  <si>
    <t>LAR_CAR_APC_Aspen_DMCplus_South_coker1</t>
  </si>
  <si>
    <t>LAR_CAR_APC_Aspen_DMCplus_South_coker2</t>
  </si>
  <si>
    <t>LAR_CAR_APC_Aspen_DMCplus_South_crddehex</t>
  </si>
  <si>
    <t>LAR_CAR_APC_Aspen_DMCplus_South_crude1</t>
  </si>
  <si>
    <t>LAR_CAR_APC_Aspen_DMCplus_South_crude2</t>
  </si>
  <si>
    <t>LAR_CAR_APC_Aspen_DMCplus_South_crude4</t>
  </si>
  <si>
    <t>LAR_CAR_APC_Aspen_DMCplus_South_napspl</t>
  </si>
  <si>
    <t>LAR_WIL_APC_Aspen_DMCplus_14HTU4</t>
  </si>
  <si>
    <t>LAR_WIL_APC_Aspen_DMCplus_2alky</t>
  </si>
  <si>
    <t>LAR_WIL_APC_Aspen_DMCplus_2alky_acid</t>
  </si>
  <si>
    <t>LAR_WIL_APC_Aspen_DMCplus_3cdu</t>
  </si>
  <si>
    <t>LAR_WIL_APC_Aspen_DMCplus_3dcu</t>
  </si>
  <si>
    <t>LAR_WIL_APC_Aspen_DMCplus_42cru2</t>
  </si>
  <si>
    <t>LAR_WIL_APC_Aspen_DMCplus_43CRU3</t>
  </si>
  <si>
    <t>LAR_WIL_APC_Aspen_DMCplus_5hcu</t>
  </si>
  <si>
    <t>LAR_CAR_APC_Aspen_IQ_North_iq2ref</t>
  </si>
  <si>
    <t>LAR_CAR_APC_Aspen_IQ_North_iQDIB</t>
  </si>
  <si>
    <t>LAR_CAR_APC_Aspen_IQ_North_iqfcc</t>
  </si>
  <si>
    <t>LAR_CAR_APC_Aspen_IQ_North_iqfcc1deprop</t>
  </si>
  <si>
    <t>LAR_CAR_APC_Aspen_IQ_North_iqfccdehex</t>
  </si>
  <si>
    <t>LAR_CAR_APC_Aspen_IQ_North_iqffhds</t>
  </si>
  <si>
    <t>LAR_CAR_APC_Aspen_IQ_North_iqgasplant</t>
  </si>
  <si>
    <t>LAR_CAR_APC_Aspen_IQ_North_iqhcu</t>
  </si>
  <si>
    <t>LAR_CAR_APC_Aspen_IQ_South_iqalky2</t>
  </si>
  <si>
    <t>LAR_CAR_APC_Aspen_IQ_South_iqalkyacid</t>
  </si>
  <si>
    <t>LAR_CAR_APC_Aspen_IQ_South_iqalkyacidc</t>
  </si>
  <si>
    <t>LAR_CAR_APC_Aspen_IQ_South_iqC3splitter</t>
  </si>
  <si>
    <t>LAR_CAR_APC_Aspen_IQ_South_iqcoker1</t>
  </si>
  <si>
    <t>LAR_CAR_APC_Aspen_IQ_South_iqcoker2</t>
  </si>
  <si>
    <t>LAR_CAR_APC_Aspen_IQ_South_iqcrude1</t>
  </si>
  <si>
    <t>LAR_CAR_APC_Aspen_IQ_South_iqcrude2</t>
  </si>
  <si>
    <t>LAR_CAR_APC_Aspen_IQ_South_iqcrude4</t>
  </si>
  <si>
    <t>LAR_CAR_APC_Aspen_IQ_South_iqcrudefrz</t>
  </si>
  <si>
    <t>LAR_CAR_APC_Aspen_IQ_South_iqdehex1</t>
  </si>
  <si>
    <t>LAR_CAR_APC_Aspen_IQ_South_iqdehex2</t>
  </si>
  <si>
    <t>LAR_CAR_APC_Aspen_IQ_South_iqjetflash</t>
  </si>
  <si>
    <t>LAR_CAR_APC_Aspen_IQ_South_iqnapspl</t>
  </si>
  <si>
    <t>LAR_WIL_APC_Aspen_IQ_IQ3CDU</t>
  </si>
  <si>
    <t>LAR_WIL_APC_Aspen_IQ_IQ42CRU2</t>
  </si>
  <si>
    <t>LAR_WIL_APC_Aspen_IQ_IQ42JETFL</t>
  </si>
  <si>
    <t>LAR_WIL_APC_Aspen_IQ_IQ5HCU</t>
  </si>
  <si>
    <t>LAR_WIL_APC_Aspen_IQ_IQALKY</t>
  </si>
  <si>
    <t>LAR_WIL_APC_Aspen_IQ_IQCRU3</t>
  </si>
  <si>
    <t>LAR_WIL_APC_Aspen_IQ_IQDCU</t>
  </si>
  <si>
    <t>LAR_WIL_APC_Aspen_IQ_IQHTU4</t>
  </si>
  <si>
    <t>LAR_CAR_VMS_Bently_BN3500_ALKY_Refrig</t>
  </si>
  <si>
    <t>LAR_CAR_VMS_Bently_BN3500_Coker_K2_Comp</t>
  </si>
  <si>
    <t>LAR_CAR_VMS_Bently_BN3500_FCC_2nd_Stage</t>
  </si>
  <si>
    <t>LAR_CAR_VMS_Bently_BN3500_FCC_Frick</t>
  </si>
  <si>
    <t>LAR_CAR_VMS_Bently_BN3500_FCC_LRU_TEC</t>
  </si>
  <si>
    <t>LAR_CAR_VMS_Bently_BN3500_FCC_MAB</t>
  </si>
  <si>
    <t>LAR_CAR_VMS_Bently_BN3500_HCU_Recycle</t>
  </si>
  <si>
    <t>LAR_CAR_VMS_Bently_BN3500_HDS_Recycle</t>
  </si>
  <si>
    <t>LAR_CAR_VMS_Bently_BN3500_ISOM_C3_Splitter</t>
  </si>
  <si>
    <t>LAR_CAR_VMS_Bently_BN3500_SFIA_VRCOMP1</t>
  </si>
  <si>
    <t>LAR_CAR_VMS_Bently_BN3500_SFIA_VRCOMP2</t>
  </si>
  <si>
    <t>LAR_WCC_VMS_Bently_BN3500_RGC1</t>
  </si>
  <si>
    <t>LAR_WCC_VMS_Bently_BN3500_RGC2</t>
  </si>
  <si>
    <t>LAR_WCC_VMS_Bently_BN3500_STG1</t>
  </si>
  <si>
    <t>LAR_WCC_VMS_Bently_BN3500_STG2</t>
  </si>
  <si>
    <t>LAR_WCC_VMS_Bently_BN3500_U91_GTG1</t>
  </si>
  <si>
    <t>LAR_WCC_VMS_Bently_BN3500_U92_GTG2</t>
  </si>
  <si>
    <t>LAR_WCC_VMS_Bently_BN3500_U93_GTG3</t>
  </si>
  <si>
    <t>LAR_WCC_VMS_Bently_BN3500_U94_GTG4</t>
  </si>
  <si>
    <t>LAR_WIL_VMS_Bently_BN3500_ALKY_C_155_Refrig</t>
  </si>
  <si>
    <t>LAR_WIL_VMS_Bently_BN3500_CRU2_C_73_Recycle</t>
  </si>
  <si>
    <t>LAR_WIL_VMS_Bently_BN3500_CRU3_C_89_Recycle</t>
  </si>
  <si>
    <t>LAR_WIL_VMS_Bently_BN3500_DCU_C_87_Recycle</t>
  </si>
  <si>
    <t>LAR_WIL_VMS_Bently_BN3500_HCU_C_93_Recycle</t>
  </si>
  <si>
    <t>LAR_WIL_VMS_Bently_BN3500_HCU_P_3669_Pump</t>
  </si>
  <si>
    <t>LAR_WIL_VMS_Bently_BN3500_HTU3_C_86_Recycle</t>
  </si>
  <si>
    <t>LAR_WIL_VMS_Bently_BN3500_HTU4_C_134_Recycle_Temp</t>
  </si>
  <si>
    <t>LAR_WIL_VMS_Bently_BN3500_HTU4_C_134_Recycle_Vib</t>
  </si>
  <si>
    <t>LAR_WIL_VMS_Bently_BN3500_HTU4_P_2337_Pump</t>
  </si>
  <si>
    <t>LAR_CAR_AMS_EMR_AMS</t>
  </si>
  <si>
    <t>LAR_WCC_TCS_GE_MarkVIe_Watson</t>
  </si>
  <si>
    <t>LAR_CAR_DCS_HWL_EPKS_ALK</t>
  </si>
  <si>
    <t>LAR_CAR_DCS_HWL_EPKS_ESVT1</t>
  </si>
  <si>
    <t>LAR_CAR_DCS_HWL_EPKS_ESVT3</t>
  </si>
  <si>
    <t>LAR_CAR_DCS_HWL_EPKS_ESVT4</t>
  </si>
  <si>
    <t>LAR_CAR_DCS_HWL_EPKS_ESVT5</t>
  </si>
  <si>
    <t>LAR_CAR_DCS_HWL_EPKS_ESVT6</t>
  </si>
  <si>
    <t>LAR_CAR_DCS_HWL_EPKS_HCU</t>
  </si>
  <si>
    <t>LAR_CAR_DCS_HWL_EPKS_REF1_ESVT</t>
  </si>
  <si>
    <t>LAR_CAR_DCS_HWL_EPKS_SCR</t>
  </si>
  <si>
    <t>LAR_CAR_DCS_HWL_EPKS_SHB</t>
  </si>
  <si>
    <t>LAR_WCC_DCS_HWL_EPKS_ESVT2</t>
  </si>
  <si>
    <t>LAR_WIL_DCS_HWL_EPKS_ALKY</t>
  </si>
  <si>
    <t>LAR_WIL_DCS_HWL_EPKS_CPD</t>
  </si>
  <si>
    <t>LAR_WIL_DCS_HWL_EPKS_CRU</t>
  </si>
  <si>
    <t>LAR_WIL_DCS_HWL_EPKS_DCU</t>
  </si>
  <si>
    <t>LAR_WIL_DCS_HWL_EPKS_ETD</t>
  </si>
  <si>
    <t>LAR_WIL_DCS_HWL_EPKS_HCU</t>
  </si>
  <si>
    <t>LAR_WIL_DCS_HWL_EPKS_HTU</t>
  </si>
  <si>
    <t>LAR_WIL_DCS_HWL_EPKS_RPS</t>
  </si>
  <si>
    <t>LAR_WIL_DCS_HWL_EPKS_SPW</t>
  </si>
  <si>
    <t>LAR_WIL_DCS_HWL_EPKS_SRP</t>
  </si>
  <si>
    <t>LAR_WIL_SIS_HWL_SM_02_IPS_01</t>
  </si>
  <si>
    <t>LAR_WIL_SIS_HWL_SM_03_IPS_01</t>
  </si>
  <si>
    <t>LAR_WIL_SIS_HWL_SM_05_IPS_01_02</t>
  </si>
  <si>
    <t>LAR_WIL_SIS_HWL_SM_06_IPS_01</t>
  </si>
  <si>
    <t>LAR_WIL_SIS_HWL_SM_14_IPS_01</t>
  </si>
  <si>
    <t>LAR_WIL_SIS_HWL_SM_43_IPS_01</t>
  </si>
  <si>
    <t>LAR_WIL_SIS_HWL_SM_81_IPS_01_B10</t>
  </si>
  <si>
    <t>LAR_WIL_SIS_HWL_SM_81_IPS_01_BO7</t>
  </si>
  <si>
    <t>LAR_WIL_SIS_HWL_SM_81_IPS_01_BO8</t>
  </si>
  <si>
    <t>LAR_WIL_SIS_HWL_SM_81_IPS_01_BO9</t>
  </si>
  <si>
    <t>LAR_CAR_DCS_HWL_TPS_LCN1</t>
  </si>
  <si>
    <t>LAR_CAR_DCS_HWL_TPS_LCN3</t>
  </si>
  <si>
    <t>LAR_CAR_DCS_HWL_TPS_LCN4</t>
  </si>
  <si>
    <t>LAR_CAR_DCS_HWL_TPS_LCN5</t>
  </si>
  <si>
    <t>LAR_CAR_DCS_HWL_TPS_LCN6</t>
  </si>
  <si>
    <t>LAR_WIL_DCS_HWL_TPS_North</t>
  </si>
  <si>
    <t>LAR_WIL_DCS_HWL_TPS_South</t>
  </si>
  <si>
    <t>LAR_WIL_DCS_HWL_TPS_SRP</t>
  </si>
  <si>
    <t>LAR_CAR_PLC_SE_ProWorx32_ISOM_DRYER</t>
  </si>
  <si>
    <t>LAR_CAR_Historian_OSI_PI</t>
  </si>
  <si>
    <t>LAR_CAR_MISC_SEL_Relays_MainStationBusA</t>
  </si>
  <si>
    <t>LAR_CAR_MISC_SEL_Relays</t>
  </si>
  <si>
    <t>LAR_CAR_SIS_SE_TRX_03SPLC0001</t>
  </si>
  <si>
    <t>LAR_CAR_SIS_SE_TRX_05SPLC0002</t>
  </si>
  <si>
    <t>LAR_CAR_SIS_SE_TRX_06SPLC0003</t>
  </si>
  <si>
    <t>LAR_CAR_SIS_SE_TRX_11SPLC0008</t>
  </si>
  <si>
    <t>LAR_CAR_SIS_SE_TRX_11SPLC0011</t>
  </si>
  <si>
    <t>LAR_CAR_SIS_SE_TRX_11SPLC0024</t>
  </si>
  <si>
    <t>LAR_CAR_SIS_SE_TRX_19SPLC0018</t>
  </si>
  <si>
    <t>LAR_CAR_SIS_SE_TRX_22SPLC0026</t>
  </si>
  <si>
    <t>LAR_CAR_SIS_SE_TRX_22SPLC0027</t>
  </si>
  <si>
    <t>LAR_CAR_SIS_SE_TRX_23SPLC0009</t>
  </si>
  <si>
    <t>LAR_CAR_SIS_SE_TRX_23SPLC0012</t>
  </si>
  <si>
    <t>LAR_CAR_SIS_SE_TRX_25SPLC0025</t>
  </si>
  <si>
    <t>LAR_CAR_SIS_SE_TRX_27SPLC0034</t>
  </si>
  <si>
    <t>LAR_CAR_SIS_SE_TRX_31SPLC0031</t>
  </si>
  <si>
    <t>LAR_CAR_SIS_SE_TRX_34SPLC0034</t>
  </si>
  <si>
    <t>LAR_CAR_SIS_SE_TRX_51SPLC0033</t>
  </si>
  <si>
    <t>LAR_CAR_SIS_SE_TRX_57SPLC0015</t>
  </si>
  <si>
    <t>LAR_CAR_SIS_SE_TRX_57SPLC0016</t>
  </si>
  <si>
    <t>LAR_CAR_SIS_SE_TRX_61SPLC0021</t>
  </si>
  <si>
    <t>LAR_CAR_SIS_SE_TRX_61SPLC0022</t>
  </si>
  <si>
    <t>LAR_CAR_SIS_SE_TRX_61SPLC0023</t>
  </si>
  <si>
    <t>LAR_CAR_SIS_SE_TRX_63SPLC0020</t>
  </si>
  <si>
    <t>LAR_CAR_SIS_SE_TRX_67SPLC0006</t>
  </si>
  <si>
    <t>LAR_CAR_SIS_SE_TRX_67SPLC0007</t>
  </si>
  <si>
    <t>LAR_CAR_SIS_SE_TRX_67SPLC0029</t>
  </si>
  <si>
    <t>LAR_CAR_SIS_SE_TRX_70SPLC0013</t>
  </si>
  <si>
    <t>LAR_CAR_SIS_SE_TRX_80SPLC0005</t>
  </si>
  <si>
    <t>LAR_CAR_SIS_SE_TRX_80SPLC0014</t>
  </si>
  <si>
    <t>LAR_CAR_SIS_SE_TRX_81SPLC0005</t>
  </si>
  <si>
    <t>LAR_CAR_SIS_SE_TRX_81SPLC0019</t>
  </si>
  <si>
    <t>LAR_WCC_SIS_SE_TRX_NGC</t>
  </si>
  <si>
    <t>LAR_WCC_SIS_SE_TRX_STG1</t>
  </si>
  <si>
    <t>LAR_WCC_SIS_SE_TRX_STG2</t>
  </si>
  <si>
    <t>LAR_WIL_SIS_SE_TRX_03_IPS_02</t>
  </si>
  <si>
    <t>LAR_WIL_SIS_SE_TRX_03_IPS_03</t>
  </si>
  <si>
    <t>LAR_WIL_SIS_SE_TRX_03_IPS_04</t>
  </si>
  <si>
    <t>LAR_WIL_SIS_SE_TRX_03_IPS_05</t>
  </si>
  <si>
    <t>LAR_WIL_SIS_SE_TRX_03_IPS_06</t>
  </si>
  <si>
    <t>LAR_WIL_SIS_SE_TRX_07_300_750</t>
  </si>
  <si>
    <t>LAR_WIL_SIS_SE_TRX_07_600_700</t>
  </si>
  <si>
    <t>LAR_WIL_SIS_SE_TRX_11_13_26_41_SIS_01</t>
  </si>
  <si>
    <t>LAR_WIL_SIS_SE_TRX_12_42_SIS_01</t>
  </si>
  <si>
    <t>LAR_WIL_SIS_SE_TRX_42_IPS_05</t>
  </si>
  <si>
    <t>LAR_WIL_SIS_SE_TRX_45_IPS_01</t>
  </si>
  <si>
    <t>LAR_WIL_TCS_Woodward_GAP_Cogen_PAC_A</t>
  </si>
  <si>
    <t>LAR_WIL_TCS_Woodward_GAP_Cogen_PAC_B</t>
  </si>
  <si>
    <t>LAR_WIL_TCS_Woodward_GAP_Cogen_STG</t>
  </si>
  <si>
    <t>qdeadadada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</si>
</sst>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8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i/>
      <sz val="14"/>
      <color theme="2" tint="-0.89999084444715716"/>
      <name val="Calibri"/>
      <family val="2"/>
      <scheme val="minor"/>
    </font>
    <font>
      <i/>
      <sz val="14"/>
      <color theme="2" tint="-0.89999084444715716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3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4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/>
    <xf numFmtId="0" fontId="2" fillId="0" borderId="0" xfId="0" applyFont="1"/>
    <xf numFmtId="0" fontId="3" fillId="2" borderId="1" xfId="0" applyFont="1" applyFill="1" applyBorder="1"/>
    <xf numFmtId="0" fontId="7" fillId="5" borderId="1" xfId="0" applyFont="1" applyFill="1" applyBorder="1" applyAlignment="1">
      <alignment horizontal="center" vertical="center" wrapText="1"/>
    </xf>
    <xf numFmtId="0" fontId="3" fillId="2" borderId="5" xfId="0" applyFont="1" applyFill="1" applyBorder="1"/>
    <xf numFmtId="0" fontId="8" fillId="0" borderId="0" xfId="0" applyFont="1" applyAlignment="1">
      <alignment wrapText="1"/>
    </xf>
    <xf numFmtId="0" fontId="14" fillId="2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0" borderId="3" xfId="0" applyFont="1" applyBorder="1"/>
    <xf numFmtId="0" fontId="18" fillId="0" borderId="3" xfId="0" applyFont="1" applyBorder="1"/>
    <xf numFmtId="0" fontId="19" fillId="0" borderId="1" xfId="0" applyFont="1" applyBorder="1"/>
    <xf numFmtId="0" fontId="18" fillId="0" borderId="1" xfId="0" applyFont="1" applyBorder="1"/>
    <xf numFmtId="0" fontId="1" fillId="6" borderId="1" xfId="0" applyFont="1" applyFill="1" applyBorder="1" applyAlignment="1" applyProtection="1">
      <alignment horizontal="left" vertical="center"/>
      <protection locked="0"/>
    </xf>
    <xf numFmtId="0" fontId="1" fillId="6" borderId="3" xfId="0" applyFont="1" applyFill="1" applyBorder="1" applyAlignment="1">
      <alignment horizontal="left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7" borderId="1" xfId="0" applyFill="1" applyBorder="1"/>
    <xf numFmtId="0" fontId="0" fillId="0" borderId="0" xfId="0" applyProtection="1">
      <protection locked="0"/>
    </xf>
    <xf numFmtId="0" fontId="3" fillId="4" borderId="6" xfId="0" applyFont="1" applyFill="1" applyBorder="1"/>
    <xf numFmtId="0" fontId="0" fillId="0" borderId="3" xfId="0" applyBorder="1" applyAlignment="1">
      <alignment horizontal="center" vertical="center"/>
    </xf>
    <xf numFmtId="0" fontId="18" fillId="0" borderId="6" xfId="0" applyFont="1" applyBorder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color theme="4" tint="-0.249977111117893"/>
      </font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color theme="4" tint="-0.249977111117893"/>
      </font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color theme="4" tint="-0.249977111117893"/>
      </font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3692979</xdr:colOff>
      <xdr:row>3</xdr:row>
      <xdr:rowOff>198665</xdr:rowOff>
    </xdr:from>
    <xdr:to>
      <xdr:col>0</xdr:col>
      <xdr:colOff>8631294</xdr:colOff>
      <xdr:row>24</xdr:row>
      <xdr:rowOff>170090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87C7E8-1B75-40CE-B085-9B357638A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2979" y="2903765"/>
          <a:ext cx="4938315" cy="398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16352381</xdr:colOff>
      <xdr:row>25</xdr:row>
      <xdr:rowOff>132786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5B1E51-990F-40ED-853D-E3B8C8BD7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4125"/>
          <a:ext cx="16352381" cy="4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915873</xdr:colOff>
      <xdr:row>0</xdr:row>
      <xdr:rowOff>16060</xdr:rowOff>
    </xdr:from>
    <xdr:to>
      <xdr:col>10</xdr:col>
      <xdr:colOff>1272632</xdr:colOff>
      <xdr:row>1</xdr:row>
      <xdr:rowOff>134199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069CA30-B03D-46FB-A6B8-4C634F6A1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9473" y="19870"/>
          <a:ext cx="360569" cy="295304"/>
        </a:xfrm>
        <a:prstGeom prst="rect">
          <a:avLst/>
        </a:prstGeom>
      </xdr:spPr>
    </xdr:pic>
    <xdr:clientData/>
  </xdr:twoCellAnchor>
  <xdr:twoCellAnchor editAs="oneCell">
    <xdr:from>
      <xdr:col>10</xdr:col>
      <xdr:colOff>1187823</xdr:colOff>
      <xdr:row>0</xdr:row>
      <xdr:rowOff>141692</xdr:rowOff>
    </xdr:from>
    <xdr:to>
      <xdr:col>11</xdr:col>
      <xdr:colOff>41294</xdr:colOff>
      <xdr:row>2</xdr:row>
      <xdr:rowOff>135982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CD8DDFC-B9CF-41EA-A8B7-294DC13E1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53328" y="139787"/>
          <a:ext cx="295556" cy="358145"/>
        </a:xfrm>
        <a:prstGeom prst="rect">
          <a:avLst/>
        </a:prstGeom>
      </xdr:spPr>
    </xdr:pic>
    <xdr:clientData/>
  </xdr:twoCellAnchor>
  <xdr:twoCellAnchor editAs="oneCell">
    <xdr:from>
      <xdr:col>6</xdr:col>
      <xdr:colOff>912932</xdr:colOff>
      <xdr:row>0</xdr:row>
      <xdr:rowOff>75265</xdr:rowOff>
    </xdr:from>
    <xdr:to>
      <xdr:col>6</xdr:col>
      <xdr:colOff>1272856</xdr:colOff>
      <xdr:row>2</xdr:row>
      <xdr:rowOff>59413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C59D0A5-1B19-431C-8CF0-0993F8DFE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1057" y="75265"/>
          <a:ext cx="363734" cy="346098"/>
        </a:xfrm>
        <a:prstGeom prst="rect">
          <a:avLst/>
        </a:prstGeom>
      </xdr:spPr>
    </xdr:pic>
    <xdr:clientData/>
  </xdr:twoCellAnchor>
  <xdr:twoCellAnchor editAs="oneCell">
    <xdr:from>
      <xdr:col>6</xdr:col>
      <xdr:colOff>1144225</xdr:colOff>
      <xdr:row>1</xdr:row>
      <xdr:rowOff>153708</xdr:rowOff>
    </xdr:from>
    <xdr:to>
      <xdr:col>6</xdr:col>
      <xdr:colOff>1445983</xdr:colOff>
      <xdr:row>3</xdr:row>
      <xdr:rowOff>132553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B16EDD1-B66B-46A8-9F62-28A58A29A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2350" y="334683"/>
          <a:ext cx="305568" cy="340795"/>
        </a:xfrm>
        <a:prstGeom prst="rect">
          <a:avLst/>
        </a:prstGeom>
      </xdr:spPr>
    </xdr:pic>
    <xdr:clientData/>
  </xdr:twoCellAnchor>
  <xdr:twoCellAnchor editAs="oneCell">
    <xdr:from>
      <xdr:col>3</xdr:col>
      <xdr:colOff>904848</xdr:colOff>
      <xdr:row>0</xdr:row>
      <xdr:rowOff>44823</xdr:rowOff>
    </xdr:from>
    <xdr:to>
      <xdr:col>3</xdr:col>
      <xdr:colOff>1202824</xdr:colOff>
      <xdr:row>1</xdr:row>
      <xdr:rowOff>98009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A195353-C9FC-4F0F-8FEA-C4AEA653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4268" y="46728"/>
          <a:ext cx="296071" cy="232256"/>
        </a:xfrm>
        <a:prstGeom prst="rect">
          <a:avLst/>
        </a:prstGeom>
      </xdr:spPr>
    </xdr:pic>
    <xdr:clientData/>
  </xdr:twoCellAnchor>
  <xdr:twoCellAnchor editAs="oneCell">
    <xdr:from>
      <xdr:col>3</xdr:col>
      <xdr:colOff>1223605</xdr:colOff>
      <xdr:row>0</xdr:row>
      <xdr:rowOff>161738</xdr:rowOff>
    </xdr:from>
    <xdr:to>
      <xdr:col>4</xdr:col>
      <xdr:colOff>174290</xdr:colOff>
      <xdr:row>2</xdr:row>
      <xdr:rowOff>134012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C83CE80-45D6-46D7-A743-A745DB8E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06835" y="163643"/>
          <a:ext cx="268945" cy="332319"/>
        </a:xfrm>
        <a:prstGeom prst="rect">
          <a:avLst/>
        </a:prstGeom>
      </xdr:spPr>
    </xdr:pic>
    <xdr:clientData/>
  </xdr:twoCellAnchor>
  <xdr:twoCellAnchor editAs="oneCell">
    <xdr:from>
      <xdr:col>11</xdr:col>
      <xdr:colOff>870447</xdr:colOff>
      <xdr:row>0</xdr:row>
      <xdr:rowOff>0</xdr:rowOff>
    </xdr:from>
    <xdr:to>
      <xdr:col>12</xdr:col>
      <xdr:colOff>40908</xdr:colOff>
      <xdr:row>1</xdr:row>
      <xdr:rowOff>95056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440D95C-C2D7-439B-B9B7-52A4D27BD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9942" y="0"/>
          <a:ext cx="244881" cy="276031"/>
        </a:xfrm>
        <a:prstGeom prst="rect">
          <a:avLst/>
        </a:prstGeom>
      </xdr:spPr>
    </xdr:pic>
    <xdr:clientData/>
  </xdr:twoCellAnchor>
  <xdr:twoCellAnchor editAs="oneCell">
    <xdr:from>
      <xdr:col>11</xdr:col>
      <xdr:colOff>1118787</xdr:colOff>
      <xdr:row>0</xdr:row>
      <xdr:rowOff>175517</xdr:rowOff>
    </xdr:from>
    <xdr:to>
      <xdr:col>12</xdr:col>
      <xdr:colOff>248638</xdr:colOff>
      <xdr:row>2</xdr:row>
      <xdr:rowOff>57626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2002A59-6DAA-46CF-8CEE-2941193BD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86372" y="171707"/>
          <a:ext cx="249991" cy="247869"/>
        </a:xfrm>
        <a:prstGeom prst="rect">
          <a:avLst/>
        </a:prstGeom>
      </xdr:spPr>
    </xdr:pic>
    <xdr:clientData/>
  </xdr:twoCellAnchor>
  <xdr:twoCellAnchor editAs="oneCell">
    <xdr:from>
      <xdr:col>7</xdr:col>
      <xdr:colOff>1082114</xdr:colOff>
      <xdr:row>1</xdr:row>
      <xdr:rowOff>9035</xdr:rowOff>
    </xdr:from>
    <xdr:to>
      <xdr:col>8</xdr:col>
      <xdr:colOff>245063</xdr:colOff>
      <xdr:row>2</xdr:row>
      <xdr:rowOff>95949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CB0D117-D57A-48EC-8CA9-DB895AEEF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39524" y="191915"/>
          <a:ext cx="250704" cy="265984"/>
        </a:xfrm>
        <a:prstGeom prst="rect">
          <a:avLst/>
        </a:prstGeom>
      </xdr:spPr>
    </xdr:pic>
    <xdr:clientData/>
  </xdr:twoCellAnchor>
  <xdr:twoCellAnchor editAs="oneCell">
    <xdr:from>
      <xdr:col>7</xdr:col>
      <xdr:colOff>858295</xdr:colOff>
      <xdr:row>0</xdr:row>
      <xdr:rowOff>19237</xdr:rowOff>
    </xdr:from>
    <xdr:to>
      <xdr:col>8</xdr:col>
      <xdr:colOff>191228</xdr:colOff>
      <xdr:row>1</xdr:row>
      <xdr:rowOff>92874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5D1CAB9-3A74-44DB-8583-F1B1973F3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08110" y="15427"/>
          <a:ext cx="220663" cy="258422"/>
        </a:xfrm>
        <a:prstGeom prst="rect">
          <a:avLst/>
        </a:prstGeom>
      </xdr:spPr>
    </xdr:pic>
    <xdr:clientData/>
  </xdr:twoCellAnchor>
  <xdr:twoCellAnchor editAs="oneCell">
    <xdr:from>
      <xdr:col>5</xdr:col>
      <xdr:colOff>1397561</xdr:colOff>
      <xdr:row>0</xdr:row>
      <xdr:rowOff>77806</xdr:rowOff>
    </xdr:from>
    <xdr:to>
      <xdr:col>6</xdr:col>
      <xdr:colOff>206609</xdr:colOff>
      <xdr:row>2</xdr:row>
      <xdr:rowOff>56871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D70A8E2-8DE1-47D6-B7BB-3DF7B8BC2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18351" y="77806"/>
          <a:ext cx="350193" cy="341015"/>
        </a:xfrm>
        <a:prstGeom prst="rect">
          <a:avLst/>
        </a:prstGeom>
      </xdr:spPr>
    </xdr:pic>
    <xdr:clientData/>
  </xdr:twoCellAnchor>
  <xdr:twoCellAnchor editAs="oneCell">
    <xdr:from>
      <xdr:col>5</xdr:col>
      <xdr:colOff>1781735</xdr:colOff>
      <xdr:row>1</xdr:row>
      <xdr:rowOff>108640</xdr:rowOff>
    </xdr:from>
    <xdr:to>
      <xdr:col>6</xdr:col>
      <xdr:colOff>248155</xdr:colOff>
      <xdr:row>2</xdr:row>
      <xdr:rowOff>169089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B2FC2E0-B9EC-449E-BDE9-563E8770A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56780" y="287710"/>
          <a:ext cx="249500" cy="243329"/>
        </a:xfrm>
        <a:prstGeom prst="rect">
          <a:avLst/>
        </a:prstGeom>
      </xdr:spPr>
    </xdr:pic>
    <xdr:clientData/>
  </xdr:twoCellAnchor>
  <xdr:twoCellAnchor editAs="oneCell">
    <xdr:from>
      <xdr:col>14</xdr:col>
      <xdr:colOff>728382</xdr:colOff>
      <xdr:row>0</xdr:row>
      <xdr:rowOff>33618</xdr:rowOff>
    </xdr:from>
    <xdr:to>
      <xdr:col>14</xdr:col>
      <xdr:colOff>1083871</xdr:colOff>
      <xdr:row>1</xdr:row>
      <xdr:rowOff>132707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A4825F4-CE72-4F44-AD9B-629E15279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13587" y="31713"/>
          <a:ext cx="353584" cy="281969"/>
        </a:xfrm>
        <a:prstGeom prst="rect">
          <a:avLst/>
        </a:prstGeom>
      </xdr:spPr>
    </xdr:pic>
    <xdr:clientData/>
  </xdr:twoCellAnchor>
  <xdr:twoCellAnchor editAs="oneCell">
    <xdr:from>
      <xdr:col>14</xdr:col>
      <xdr:colOff>1030941</xdr:colOff>
      <xdr:row>1</xdr:row>
      <xdr:rowOff>0</xdr:rowOff>
    </xdr:from>
    <xdr:to>
      <xdr:col>14</xdr:col>
      <xdr:colOff>1355707</xdr:colOff>
      <xdr:row>3</xdr:row>
      <xdr:rowOff>15245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DFCD392-05B4-483E-B21A-6EF6E8DC1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4241" y="180975"/>
          <a:ext cx="320956" cy="377195"/>
        </a:xfrm>
        <a:prstGeom prst="rect">
          <a:avLst/>
        </a:prstGeom>
      </xdr:spPr>
    </xdr:pic>
    <xdr:clientData/>
  </xdr:twoCellAnchor>
  <xdr:twoCellAnchor editAs="oneCell">
    <xdr:from>
      <xdr:col>15</xdr:col>
      <xdr:colOff>1032493</xdr:colOff>
      <xdr:row>0</xdr:row>
      <xdr:rowOff>24583</xdr:rowOff>
    </xdr:from>
    <xdr:to>
      <xdr:col>15</xdr:col>
      <xdr:colOff>1351223</xdr:colOff>
      <xdr:row>1</xdr:row>
      <xdr:rowOff>169803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69614D7-2552-4360-8CEA-6DFF401D4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301693" y="20773"/>
          <a:ext cx="318730" cy="330005"/>
        </a:xfrm>
        <a:prstGeom prst="rect">
          <a:avLst/>
        </a:prstGeom>
      </xdr:spPr>
    </xdr:pic>
    <xdr:clientData/>
  </xdr:twoCellAnchor>
  <xdr:twoCellAnchor editAs="oneCell">
    <xdr:from>
      <xdr:col>2</xdr:col>
      <xdr:colOff>750951</xdr:colOff>
      <xdr:row>0</xdr:row>
      <xdr:rowOff>31605</xdr:rowOff>
    </xdr:from>
    <xdr:to>
      <xdr:col>2</xdr:col>
      <xdr:colOff>1009750</xdr:colOff>
      <xdr:row>1</xdr:row>
      <xdr:rowOff>98311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E696BA2-3094-4314-94B0-42DF48893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77796" y="29700"/>
          <a:ext cx="260704" cy="249586"/>
        </a:xfrm>
        <a:prstGeom prst="rect">
          <a:avLst/>
        </a:prstGeom>
      </xdr:spPr>
    </xdr:pic>
    <xdr:clientData/>
  </xdr:twoCellAnchor>
  <xdr:twoCellAnchor editAs="oneCell">
    <xdr:from>
      <xdr:col>4</xdr:col>
      <xdr:colOff>862928</xdr:colOff>
      <xdr:row>0</xdr:row>
      <xdr:rowOff>0</xdr:rowOff>
    </xdr:from>
    <xdr:to>
      <xdr:col>4</xdr:col>
      <xdr:colOff>1236187</xdr:colOff>
      <xdr:row>2</xdr:row>
      <xdr:rowOff>343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EB5405B-2157-43A3-901C-ECD4BAED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4418" y="0"/>
          <a:ext cx="377069" cy="362293"/>
        </a:xfrm>
        <a:prstGeom prst="rect">
          <a:avLst/>
        </a:prstGeom>
      </xdr:spPr>
    </xdr:pic>
    <xdr:clientData/>
  </xdr:twoCellAnchor>
  <xdr:twoCellAnchor editAs="oneCell">
    <xdr:from>
      <xdr:col>4</xdr:col>
      <xdr:colOff>1184519</xdr:colOff>
      <xdr:row>0</xdr:row>
      <xdr:rowOff>125290</xdr:rowOff>
    </xdr:from>
    <xdr:to>
      <xdr:col>4</xdr:col>
      <xdr:colOff>1508026</xdr:colOff>
      <xdr:row>2</xdr:row>
      <xdr:rowOff>97785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3DD31DC-2CF4-48CF-A301-CE182B86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9819" y="127195"/>
          <a:ext cx="323507" cy="332540"/>
        </a:xfrm>
        <a:prstGeom prst="rect">
          <a:avLst/>
        </a:prstGeom>
      </xdr:spPr>
    </xdr:pic>
    <xdr:clientData/>
  </xdr:twoCellAnchor>
  <xdr:twoCellAnchor editAs="oneCell">
    <xdr:from>
      <xdr:col>13</xdr:col>
      <xdr:colOff>972837</xdr:colOff>
      <xdr:row>1</xdr:row>
      <xdr:rowOff>24423</xdr:rowOff>
    </xdr:from>
    <xdr:to>
      <xdr:col>14</xdr:col>
      <xdr:colOff>17111</xdr:colOff>
      <xdr:row>3</xdr:row>
      <xdr:rowOff>15980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D697008-BF69-497F-9029-092AAC4A4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542652" y="201588"/>
          <a:ext cx="257759" cy="3573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1050193</xdr:colOff>
      <xdr:row>0</xdr:row>
      <xdr:rowOff>183172</xdr:rowOff>
    </xdr:from>
    <xdr:to>
      <xdr:col>2</xdr:col>
      <xdr:colOff>1273872</xdr:colOff>
      <xdr:row>2</xdr:row>
      <xdr:rowOff>18633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22AD9B-B09E-41ED-9E04-B6319E730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75133" y="181267"/>
          <a:ext cx="227489" cy="199316"/>
        </a:xfrm>
        <a:prstGeom prst="rect">
          <a:avLst/>
        </a:prstGeom>
      </xdr:spPr>
    </xdr:pic>
    <xdr:clientData/>
  </xdr:twoCellAnchor>
  <xdr:twoCellAnchor editAs="oneCell">
    <xdr:from>
      <xdr:col>8</xdr:col>
      <xdr:colOff>818172</xdr:colOff>
      <xdr:row>0</xdr:row>
      <xdr:rowOff>0</xdr:rowOff>
    </xdr:from>
    <xdr:to>
      <xdr:col>8</xdr:col>
      <xdr:colOff>1181906</xdr:colOff>
      <xdr:row>2</xdr:row>
      <xdr:rowOff>343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9851EAE-F6EB-4C44-8ADC-5EC4A8FC0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61432" y="0"/>
          <a:ext cx="359924" cy="362293"/>
        </a:xfrm>
        <a:prstGeom prst="rect">
          <a:avLst/>
        </a:prstGeom>
      </xdr:spPr>
    </xdr:pic>
    <xdr:clientData/>
  </xdr:twoCellAnchor>
  <xdr:twoCellAnchor editAs="oneCell">
    <xdr:from>
      <xdr:col>8</xdr:col>
      <xdr:colOff>1160096</xdr:colOff>
      <xdr:row>0</xdr:row>
      <xdr:rowOff>158749</xdr:rowOff>
    </xdr:from>
    <xdr:to>
      <xdr:col>9</xdr:col>
      <xdr:colOff>231065</xdr:colOff>
      <xdr:row>2</xdr:row>
      <xdr:rowOff>134419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C3F9270-8B38-429F-86D3-DA2D1C29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03356" y="160654"/>
          <a:ext cx="305409" cy="33571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1147885</xdr:colOff>
      <xdr:row>0</xdr:row>
      <xdr:rowOff>122116</xdr:rowOff>
    </xdr:from>
    <xdr:to>
      <xdr:col>12</xdr:col>
      <xdr:colOff>1394066</xdr:colOff>
      <xdr:row>2</xdr:row>
      <xdr:rowOff>735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F17E641-0099-4837-B571-B28DA4509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237515" y="124021"/>
          <a:ext cx="240466" cy="238664"/>
        </a:xfrm>
        <a:prstGeom prst="rect">
          <a:avLst/>
        </a:prstGeom>
      </xdr:spPr>
    </xdr:pic>
    <xdr:clientData/>
  </xdr:twoCellAnchor>
  <xdr:twoCellAnchor editAs="oneCell">
    <xdr:from>
      <xdr:col>12</xdr:col>
      <xdr:colOff>867019</xdr:colOff>
      <xdr:row>0</xdr:row>
      <xdr:rowOff>12212</xdr:rowOff>
    </xdr:from>
    <xdr:to>
      <xdr:col>12</xdr:col>
      <xdr:colOff>1126505</xdr:colOff>
      <xdr:row>1</xdr:row>
      <xdr:rowOff>114888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5822C17-22F3-4D81-9967-D500D4335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52839" y="16022"/>
          <a:ext cx="261391" cy="279841"/>
        </a:xfrm>
        <a:prstGeom prst="rect">
          <a:avLst/>
        </a:prstGeom>
      </xdr:spPr>
    </xdr:pic>
    <xdr:clientData/>
  </xdr:twoCellAnchor>
  <xdr:twoCellAnchor editAs="oneCell">
    <xdr:from>
      <xdr:col>9</xdr:col>
      <xdr:colOff>940289</xdr:colOff>
      <xdr:row>0</xdr:row>
      <xdr:rowOff>24423</xdr:rowOff>
    </xdr:from>
    <xdr:to>
      <xdr:col>9</xdr:col>
      <xdr:colOff>1257749</xdr:colOff>
      <xdr:row>2</xdr:row>
      <xdr:rowOff>15814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91896E5-4EC9-4756-A8EF-6F096C227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14179" y="20613"/>
          <a:ext cx="321270" cy="357151"/>
        </a:xfrm>
        <a:prstGeom prst="rect">
          <a:avLst/>
        </a:prstGeom>
      </xdr:spPr>
    </xdr:pic>
    <xdr:clientData/>
  </xdr:twoCellAnchor>
  <xdr:twoCellAnchor editAs="oneCell">
    <xdr:from>
      <xdr:col>9</xdr:col>
      <xdr:colOff>1144892</xdr:colOff>
      <xdr:row>1</xdr:row>
      <xdr:rowOff>48847</xdr:rowOff>
    </xdr:from>
    <xdr:to>
      <xdr:col>9</xdr:col>
      <xdr:colOff>1430475</xdr:colOff>
      <xdr:row>3</xdr:row>
      <xdr:rowOff>40404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4926308-26F4-416B-986D-F2BA422C0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22592" y="231727"/>
          <a:ext cx="283678" cy="351602"/>
        </a:xfrm>
        <a:prstGeom prst="rect">
          <a:avLst/>
        </a:prstGeom>
      </xdr:spPr>
    </xdr:pic>
    <xdr:clientData/>
  </xdr:twoCellAnchor>
  <xdr:twoCellAnchor editAs="oneCell">
    <xdr:from>
      <xdr:col>15</xdr:col>
      <xdr:colOff>1331057</xdr:colOff>
      <xdr:row>0</xdr:row>
      <xdr:rowOff>100867</xdr:rowOff>
    </xdr:from>
    <xdr:to>
      <xdr:col>15</xdr:col>
      <xdr:colOff>1618240</xdr:colOff>
      <xdr:row>2</xdr:row>
      <xdr:rowOff>93694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6B73EDE-523A-4190-AF07-80C4C8021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00257" y="97057"/>
          <a:ext cx="287183" cy="358587"/>
        </a:xfrm>
        <a:prstGeom prst="rect">
          <a:avLst/>
        </a:prstGeom>
      </xdr:spPr>
    </xdr:pic>
    <xdr:clientData/>
  </xdr:twoCellAnchor>
  <xdr:twoCellAnchor editAs="oneCell">
    <xdr:from>
      <xdr:col>13</xdr:col>
      <xdr:colOff>757114</xdr:colOff>
      <xdr:row>0</xdr:row>
      <xdr:rowOff>0</xdr:rowOff>
    </xdr:from>
    <xdr:to>
      <xdr:col>13</xdr:col>
      <xdr:colOff>1083464</xdr:colOff>
      <xdr:row>1</xdr:row>
      <xdr:rowOff>151570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C079F91-F818-46BD-A741-8770A453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328834" y="0"/>
          <a:ext cx="328255" cy="332545"/>
        </a:xfrm>
        <a:prstGeom prst="rect">
          <a:avLst/>
        </a:prstGeom>
      </xdr:spPr>
    </xdr:pic>
    <xdr:clientData/>
  </xdr:twoCellAnchor>
  <xdr:oneCellAnchor>
    <xdr:from>
      <xdr:col>11</xdr:col>
      <xdr:colOff>972837</xdr:colOff>
      <xdr:row>3</xdr:row>
      <xdr:rowOff>24423</xdr:rowOff>
    </xdr:from>
    <xdr:ext cx="294431" cy="336044"/>
    <xdr:pic>
      <xdr:nvPicPr>
        <xdr:cNvPr id="59" name="Picture 58">
          <a:extLst>
            <a:ext uri="{FF2B5EF4-FFF2-40B4-BE49-F238E27FC236}">
              <a16:creationId xmlns:a16="http://schemas.microsoft.com/office/drawing/2014/main" id="{4AEDD0FF-4419-45AD-AC15-BAE83FCB6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980427" y="563538"/>
          <a:ext cx="294431" cy="33604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hexmet.sharepoint.com/sites/EXTERNAL2025-MarathonCyberandAutomationImplementation-LAR/Shared%20Documents/LAR%20-%20Los%20Angeles%20CA/Asset%20hierarchy/LAR_BulkRev1/LAR_BulkRev1/BulkRev1/Assets-Hiearchy_LAR_Template_Master_09Sep2025.xlsx" TargetMode="External"/><Relationship Id="rId2" Type="http://schemas.microsoft.com/office/2019/04/relationships/externalLinkLongPath" Target="LAR_BulkRev1/LAR_BulkRev1/BulkRev1/Assets-Hiearchy_LAR_Template_Master_09Sep2025.xlsx?D58CF37C" TargetMode="External"/><Relationship Id="rId1" Type="http://schemas.openxmlformats.org/officeDocument/2006/relationships/externalLinkPath" Target="file:///\\D58CF37C\Assets-Hiearchy_LAR_Template_Master_09Sep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xmet-my.sharepoint.com/personal/rodrigo_avila_hexagon_com/Documents/Desktop/6-Assets-Hiearchy_Aux_Assets_2405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structions"/>
      <sheetName val="Assets"/>
      <sheetName val="Look Table"/>
      <sheetName val="Selections"/>
    </sheetNames>
    <sheetDataSet>
      <sheetData sheetId="0"/>
      <sheetData sheetId="1"/>
      <sheetData sheetId="2">
        <row r="1">
          <cell r="B1" t="str">
            <v>Asset Model</v>
          </cell>
          <cell r="C1" t="str">
            <v>Vendor</v>
          </cell>
          <cell r="D1" t="str">
            <v>Vendor Prefix</v>
          </cell>
          <cell r="E1" t="str">
            <v>Product</v>
          </cell>
        </row>
        <row r="2">
          <cell r="B2" t="str">
            <v>Aspen DMCplus</v>
          </cell>
          <cell r="C2" t="str">
            <v>Aspen</v>
          </cell>
          <cell r="D2" t="str">
            <v>Aspen</v>
          </cell>
          <cell r="E2" t="str">
            <v>DMCplus</v>
          </cell>
        </row>
        <row r="3">
          <cell r="B3" t="str">
            <v>Honeywell RMPCT</v>
          </cell>
          <cell r="C3" t="str">
            <v>Honeywell</v>
          </cell>
          <cell r="D3" t="str">
            <v>HWL</v>
          </cell>
          <cell r="E3" t="str">
            <v>RMPCT</v>
          </cell>
        </row>
        <row r="4">
          <cell r="B4" t="str">
            <v>Aspen IQ</v>
          </cell>
          <cell r="C4" t="str">
            <v>Aspen</v>
          </cell>
          <cell r="D4" t="str">
            <v>Aspen</v>
          </cell>
          <cell r="E4" t="str">
            <v>IQ</v>
          </cell>
        </row>
        <row r="5">
          <cell r="B5" t="str">
            <v>ABB 800xA</v>
          </cell>
          <cell r="C5" t="str">
            <v>ABB</v>
          </cell>
          <cell r="D5" t="str">
            <v>ABB</v>
          </cell>
          <cell r="E5" t="str">
            <v>800xA</v>
          </cell>
        </row>
        <row r="6">
          <cell r="B6" t="str">
            <v>ABB Freelance</v>
          </cell>
          <cell r="C6" t="str">
            <v>ABB</v>
          </cell>
          <cell r="D6" t="str">
            <v>ABB</v>
          </cell>
          <cell r="E6" t="str">
            <v>Freelance</v>
          </cell>
        </row>
        <row r="7">
          <cell r="B7" t="str">
            <v>ABB Harmony</v>
          </cell>
          <cell r="C7" t="str">
            <v>ABB</v>
          </cell>
          <cell r="D7" t="str">
            <v>ABB</v>
          </cell>
          <cell r="E7" t="str">
            <v>Harmony</v>
          </cell>
        </row>
        <row r="8">
          <cell r="B8" t="str">
            <v>ABB Symphony Plus</v>
          </cell>
          <cell r="C8" t="str">
            <v>ABB</v>
          </cell>
          <cell r="D8" t="str">
            <v>ABB</v>
          </cell>
          <cell r="E8" t="str">
            <v>SymphonyPlus</v>
          </cell>
        </row>
        <row r="9">
          <cell r="B9" t="str">
            <v>Dow MOD5</v>
          </cell>
          <cell r="C9" t="str">
            <v>Dow</v>
          </cell>
          <cell r="D9" t="str">
            <v>Dow</v>
          </cell>
          <cell r="E9" t="str">
            <v>MOD5</v>
          </cell>
        </row>
        <row r="10">
          <cell r="B10" t="str">
            <v>Emerson DeltaV</v>
          </cell>
          <cell r="C10" t="str">
            <v>Emerson</v>
          </cell>
          <cell r="D10" t="str">
            <v>EE</v>
          </cell>
          <cell r="E10" t="str">
            <v>DeltaV</v>
          </cell>
        </row>
        <row r="11">
          <cell r="B11" t="str">
            <v>Emerson Ovation</v>
          </cell>
          <cell r="C11" t="str">
            <v>Emerson</v>
          </cell>
          <cell r="D11" t="str">
            <v>EE</v>
          </cell>
          <cell r="E11" t="str">
            <v>Ovation</v>
          </cell>
        </row>
        <row r="12">
          <cell r="B12" t="str">
            <v>GE Alspa</v>
          </cell>
          <cell r="C12" t="str">
            <v>GE</v>
          </cell>
          <cell r="D12" t="str">
            <v>GE</v>
          </cell>
          <cell r="E12" t="str">
            <v>Alspa</v>
          </cell>
        </row>
        <row r="13">
          <cell r="B13" t="str">
            <v>Honeywell EPKS</v>
          </cell>
          <cell r="C13" t="str">
            <v>Honeywell</v>
          </cell>
          <cell r="D13" t="str">
            <v>HWL</v>
          </cell>
          <cell r="E13" t="str">
            <v>EPKS</v>
          </cell>
        </row>
        <row r="14">
          <cell r="B14" t="str">
            <v>Honeywell TPS</v>
          </cell>
          <cell r="C14" t="str">
            <v>Honeywell</v>
          </cell>
          <cell r="D14" t="str">
            <v>HWL</v>
          </cell>
          <cell r="E14" t="str">
            <v>TPS</v>
          </cell>
        </row>
        <row r="15">
          <cell r="B15" t="str">
            <v>Invensys CTS</v>
          </cell>
          <cell r="C15" t="str">
            <v>Schneider</v>
          </cell>
          <cell r="D15" t="str">
            <v>SE</v>
          </cell>
          <cell r="E15" t="str">
            <v>CTS</v>
          </cell>
        </row>
        <row r="16">
          <cell r="B16" t="str">
            <v>Invensys FoxIA</v>
          </cell>
          <cell r="C16" t="str">
            <v>Schneider</v>
          </cell>
          <cell r="D16" t="str">
            <v>SE</v>
          </cell>
          <cell r="E16" t="str">
            <v>FoxIA</v>
          </cell>
        </row>
        <row r="17">
          <cell r="B17" t="str">
            <v>Invensys Infusion</v>
          </cell>
          <cell r="C17" t="str">
            <v>Schneider</v>
          </cell>
          <cell r="D17" t="str">
            <v>SE</v>
          </cell>
          <cell r="E17" t="str">
            <v>Infusion</v>
          </cell>
        </row>
        <row r="18">
          <cell r="B18" t="str">
            <v>Schneider Foxboro Evo</v>
          </cell>
          <cell r="C18" t="str">
            <v>Schneider</v>
          </cell>
          <cell r="D18" t="str">
            <v>SE</v>
          </cell>
          <cell r="E18" t="str">
            <v>FoxboroEvo</v>
          </cell>
        </row>
        <row r="19">
          <cell r="B19" t="str">
            <v>Siemens PCS7</v>
          </cell>
          <cell r="C19" t="str">
            <v>Siemens</v>
          </cell>
          <cell r="D19" t="str">
            <v>SI</v>
          </cell>
          <cell r="E19" t="str">
            <v>PCS7</v>
          </cell>
        </row>
        <row r="20">
          <cell r="B20" t="str">
            <v>Siemens T3000</v>
          </cell>
          <cell r="C20" t="str">
            <v>Siemens</v>
          </cell>
          <cell r="D20" t="str">
            <v>SI</v>
          </cell>
          <cell r="E20" t="str">
            <v>T3000</v>
          </cell>
        </row>
        <row r="21">
          <cell r="B21" t="str">
            <v>Yokogawa Centum CS3000</v>
          </cell>
          <cell r="C21" t="str">
            <v>Yokogawa</v>
          </cell>
          <cell r="D21" t="str">
            <v>YKGW</v>
          </cell>
          <cell r="E21" t="str">
            <v>CentumCS3000</v>
          </cell>
        </row>
        <row r="22">
          <cell r="B22" t="str">
            <v>Yokogawa Centum VP</v>
          </cell>
          <cell r="C22" t="str">
            <v>Yokogawa</v>
          </cell>
          <cell r="D22" t="str">
            <v>YKGW</v>
          </cell>
          <cell r="E22" t="str">
            <v>CentumVP</v>
          </cell>
        </row>
        <row r="23">
          <cell r="B23" t="str">
            <v>[Manual-Inventory]</v>
          </cell>
          <cell r="C23" t="str">
            <v>PAS</v>
          </cell>
          <cell r="D23" t="str">
            <v>PAS</v>
          </cell>
          <cell r="E23" t="str">
            <v>ManualInventory</v>
          </cell>
        </row>
        <row r="24">
          <cell r="B24" t="str">
            <v>Aspen IP21</v>
          </cell>
          <cell r="C24" t="str">
            <v>Aspen</v>
          </cell>
          <cell r="D24" t="str">
            <v>Aspen</v>
          </cell>
          <cell r="E24" t="str">
            <v>IP21</v>
          </cell>
        </row>
        <row r="25">
          <cell r="B25" t="str">
            <v>OSISoft PI</v>
          </cell>
          <cell r="C25" t="str">
            <v>OSI</v>
          </cell>
          <cell r="D25" t="str">
            <v>OSI</v>
          </cell>
          <cell r="E25" t="str">
            <v>PI</v>
          </cell>
        </row>
        <row r="26">
          <cell r="B26" t="str">
            <v>HW PHD</v>
          </cell>
          <cell r="C26" t="str">
            <v>Honeywell</v>
          </cell>
          <cell r="D26" t="str">
            <v>HWL</v>
          </cell>
          <cell r="E26" t="str">
            <v>PHD</v>
          </cell>
        </row>
        <row r="27">
          <cell r="B27" t="str">
            <v>Emerson AMS</v>
          </cell>
          <cell r="C27" t="str">
            <v>Emerson</v>
          </cell>
          <cell r="D27" t="str">
            <v>EMR</v>
          </cell>
          <cell r="E27" t="str">
            <v>AMS</v>
          </cell>
        </row>
        <row r="28">
          <cell r="B28" t="str">
            <v>Honeywell Intuition Executive</v>
          </cell>
          <cell r="C28" t="str">
            <v>Honeywell</v>
          </cell>
          <cell r="D28" t="str">
            <v>HWL</v>
          </cell>
          <cell r="E28" t="str">
            <v>IntuitionExecutive</v>
          </cell>
        </row>
        <row r="29">
          <cell r="B29" t="str">
            <v>Honeywell Intuition Forms</v>
          </cell>
          <cell r="C29" t="str">
            <v>Honeywell</v>
          </cell>
          <cell r="D29" t="str">
            <v>HWL</v>
          </cell>
          <cell r="E29" t="str">
            <v>IntuitionForms</v>
          </cell>
        </row>
        <row r="30">
          <cell r="B30" t="str">
            <v>Honeywell AFM</v>
          </cell>
          <cell r="C30" t="str">
            <v>Honeywell</v>
          </cell>
          <cell r="D30" t="str">
            <v>HWL</v>
          </cell>
          <cell r="E30" t="str">
            <v>AFM</v>
          </cell>
        </row>
        <row r="31">
          <cell r="B31" t="str">
            <v>Honeywell BCM</v>
          </cell>
          <cell r="C31" t="str">
            <v>Honeywell</v>
          </cell>
          <cell r="D31" t="str">
            <v>HWL</v>
          </cell>
          <cell r="E31" t="str">
            <v>BCM</v>
          </cell>
        </row>
        <row r="32">
          <cell r="B32" t="str">
            <v>Honeywell FDM</v>
          </cell>
          <cell r="C32" t="str">
            <v>Honeywell</v>
          </cell>
          <cell r="D32" t="str">
            <v>HWL</v>
          </cell>
          <cell r="E32" t="str">
            <v>FDM</v>
          </cell>
        </row>
        <row r="33">
          <cell r="B33" t="str">
            <v>Intergraph INtools</v>
          </cell>
          <cell r="C33" t="str">
            <v>Integraph</v>
          </cell>
          <cell r="D33" t="str">
            <v>Integraph</v>
          </cell>
          <cell r="E33" t="str">
            <v>INtools</v>
          </cell>
        </row>
        <row r="34">
          <cell r="B34" t="str">
            <v>Intergraph Smart Instrumentation</v>
          </cell>
          <cell r="C34" t="str">
            <v>Integraph</v>
          </cell>
          <cell r="D34" t="str">
            <v>Integraph</v>
          </cell>
          <cell r="E34" t="str">
            <v>SmartIntrument</v>
          </cell>
        </row>
        <row r="35">
          <cell r="B35" t="str">
            <v>PAS Sensor Data Integrity</v>
          </cell>
          <cell r="C35" t="str">
            <v>PAS</v>
          </cell>
          <cell r="D35" t="str">
            <v>PAS</v>
          </cell>
          <cell r="E35" t="str">
            <v>SDI</v>
          </cell>
        </row>
        <row r="36">
          <cell r="B36" t="str">
            <v>Schneider FDM</v>
          </cell>
          <cell r="C36" t="str">
            <v>Schneider</v>
          </cell>
          <cell r="D36" t="str">
            <v>SE</v>
          </cell>
          <cell r="E36" t="str">
            <v>FDM</v>
          </cell>
        </row>
        <row r="37">
          <cell r="B37" t="str">
            <v>PAS PlantState Configuration</v>
          </cell>
          <cell r="C37" t="str">
            <v>PAS</v>
          </cell>
          <cell r="D37" t="str">
            <v>PAS</v>
          </cell>
          <cell r="E37" t="str">
            <v>PlantState Configuration</v>
          </cell>
        </row>
        <row r="38">
          <cell r="B38" t="str">
            <v>Yokogawa PRM</v>
          </cell>
          <cell r="C38" t="str">
            <v>Yokogawa</v>
          </cell>
          <cell r="D38" t="str">
            <v>YKGW</v>
          </cell>
          <cell r="E38" t="str">
            <v>PRM</v>
          </cell>
        </row>
        <row r="39">
          <cell r="B39" t="str">
            <v>PAS Network Devices</v>
          </cell>
          <cell r="C39" t="str">
            <v>PAS</v>
          </cell>
          <cell r="D39" t="str">
            <v>PAS</v>
          </cell>
          <cell r="E39" t="str">
            <v>NetworkDevices</v>
          </cell>
        </row>
        <row r="40">
          <cell r="B40" t="str">
            <v>SNMP Network Devices</v>
          </cell>
          <cell r="C40" t="str">
            <v>PAS</v>
          </cell>
          <cell r="D40" t="str">
            <v>PAS</v>
          </cell>
          <cell r="E40" t="str">
            <v>SNMP_NetworkDevices</v>
          </cell>
        </row>
        <row r="41">
          <cell r="B41" t="str">
            <v>PAS Recon</v>
          </cell>
          <cell r="C41" t="str">
            <v>PAS</v>
          </cell>
          <cell r="D41" t="str">
            <v>PAS</v>
          </cell>
          <cell r="E41" t="str">
            <v>Recon</v>
          </cell>
        </row>
        <row r="42">
          <cell r="B42" t="str">
            <v>AB ControlLogix</v>
          </cell>
          <cell r="C42" t="str">
            <v>AB</v>
          </cell>
          <cell r="D42" t="str">
            <v>AB</v>
          </cell>
          <cell r="E42" t="str">
            <v>CtrLogix</v>
          </cell>
        </row>
        <row r="43">
          <cell r="B43" t="str">
            <v>AB PLC5</v>
          </cell>
          <cell r="C43" t="str">
            <v>AB</v>
          </cell>
          <cell r="D43" t="str">
            <v>AB</v>
          </cell>
          <cell r="E43" t="str">
            <v>PLC5</v>
          </cell>
        </row>
        <row r="44">
          <cell r="B44" t="str">
            <v>AB SLC500</v>
          </cell>
          <cell r="C44" t="str">
            <v>AB</v>
          </cell>
          <cell r="D44" t="str">
            <v>AB</v>
          </cell>
          <cell r="E44" t="str">
            <v>SLC500</v>
          </cell>
        </row>
        <row r="45">
          <cell r="B45" t="str">
            <v>GE Fanuc 90</v>
          </cell>
          <cell r="C45" t="str">
            <v>GE</v>
          </cell>
          <cell r="D45" t="str">
            <v>GE</v>
          </cell>
          <cell r="E45" t="str">
            <v>Fanuc90</v>
          </cell>
        </row>
        <row r="46">
          <cell r="B46" t="str">
            <v>GE Proficy ME</v>
          </cell>
          <cell r="C46" t="str">
            <v>GE</v>
          </cell>
          <cell r="D46" t="str">
            <v>GE</v>
          </cell>
          <cell r="E46" t="str">
            <v>ProficyME</v>
          </cell>
        </row>
        <row r="47">
          <cell r="B47" t="str">
            <v>Honeywell LM</v>
          </cell>
          <cell r="C47" t="str">
            <v>Honeywell</v>
          </cell>
          <cell r="D47" t="str">
            <v>HWL</v>
          </cell>
          <cell r="E47" t="str">
            <v>LM</v>
          </cell>
        </row>
        <row r="48">
          <cell r="B48" t="str">
            <v>Modicon Proworx</v>
          </cell>
          <cell r="C48" t="str">
            <v>Schneider</v>
          </cell>
          <cell r="D48" t="str">
            <v>SE</v>
          </cell>
          <cell r="E48" t="str">
            <v>Proworx</v>
          </cell>
        </row>
        <row r="49">
          <cell r="B49" t="str">
            <v>Modicon ProWorx32</v>
          </cell>
          <cell r="C49" t="str">
            <v>Schneider</v>
          </cell>
          <cell r="D49" t="str">
            <v>SE</v>
          </cell>
          <cell r="E49" t="str">
            <v>ProWorx32</v>
          </cell>
        </row>
        <row r="50">
          <cell r="B50" t="str">
            <v>Rockwell FactoryTalk AssetCentre</v>
          </cell>
          <cell r="C50" t="str">
            <v>Rokwell</v>
          </cell>
          <cell r="D50" t="str">
            <v>ROK</v>
          </cell>
          <cell r="E50" t="str">
            <v>AssetCentre</v>
          </cell>
        </row>
        <row r="51">
          <cell r="B51" t="str">
            <v>Rockwell Studio 5000</v>
          </cell>
          <cell r="C51" t="str">
            <v>Rokwell</v>
          </cell>
          <cell r="D51" t="str">
            <v>ROK</v>
          </cell>
          <cell r="E51" t="str">
            <v>Studio5000</v>
          </cell>
        </row>
        <row r="52">
          <cell r="B52" t="str">
            <v>Schneider Unity Pro</v>
          </cell>
          <cell r="C52" t="str">
            <v>Schneider</v>
          </cell>
          <cell r="D52" t="str">
            <v>SE</v>
          </cell>
          <cell r="E52" t="str">
            <v>UnityPro</v>
          </cell>
        </row>
        <row r="53">
          <cell r="B53" t="str">
            <v>Siemens S7 400</v>
          </cell>
          <cell r="C53" t="str">
            <v>Siemens</v>
          </cell>
          <cell r="D53" t="str">
            <v>SI</v>
          </cell>
          <cell r="E53" t="str">
            <v>S7_400</v>
          </cell>
        </row>
        <row r="54">
          <cell r="B54" t="str">
            <v>Siemens TIA Portal</v>
          </cell>
          <cell r="C54" t="str">
            <v>Siemens</v>
          </cell>
          <cell r="D54" t="str">
            <v>SI</v>
          </cell>
          <cell r="E54" t="str">
            <v>TIA_Portal</v>
          </cell>
        </row>
        <row r="55">
          <cell r="B55" t="str">
            <v>Schweitzer SEL Blueframe</v>
          </cell>
          <cell r="C55" t="str">
            <v>Schweitzer</v>
          </cell>
          <cell r="D55" t="str">
            <v>SEL</v>
          </cell>
          <cell r="E55" t="str">
            <v>Blueframe</v>
          </cell>
        </row>
        <row r="56">
          <cell r="B56" t="str">
            <v>Schweitzer Relays</v>
          </cell>
          <cell r="C56" t="str">
            <v>Schweitzer</v>
          </cell>
          <cell r="D56" t="str">
            <v>SEL</v>
          </cell>
          <cell r="E56" t="str">
            <v>Relays</v>
          </cell>
        </row>
        <row r="57">
          <cell r="B57" t="str">
            <v>GE Cimplicity</v>
          </cell>
          <cell r="C57" t="str">
            <v>GE</v>
          </cell>
          <cell r="D57" t="str">
            <v>GE</v>
          </cell>
          <cell r="E57" t="str">
            <v>Cimplicity</v>
          </cell>
        </row>
        <row r="58">
          <cell r="B58" t="str">
            <v>WonderWare InTouch</v>
          </cell>
          <cell r="C58" t="str">
            <v>Schneider</v>
          </cell>
          <cell r="D58" t="str">
            <v>SE</v>
          </cell>
          <cell r="E58" t="str">
            <v>InTouch</v>
          </cell>
        </row>
        <row r="59">
          <cell r="B59" t="str">
            <v>HIMA ELOP II</v>
          </cell>
          <cell r="C59" t="str">
            <v>HIMA</v>
          </cell>
          <cell r="D59" t="str">
            <v>HIMA</v>
          </cell>
          <cell r="E59" t="str">
            <v>ELOPII</v>
          </cell>
        </row>
        <row r="60">
          <cell r="B60" t="str">
            <v>Honeywell FSC</v>
          </cell>
          <cell r="C60" t="str">
            <v>Honeywell</v>
          </cell>
          <cell r="D60" t="str">
            <v>HWL</v>
          </cell>
          <cell r="E60" t="str">
            <v>FSC</v>
          </cell>
        </row>
        <row r="61">
          <cell r="B61" t="str">
            <v>Honeywell SM</v>
          </cell>
          <cell r="C61" t="str">
            <v>Honeywell</v>
          </cell>
          <cell r="D61" t="str">
            <v>HWL</v>
          </cell>
          <cell r="E61" t="str">
            <v>SM</v>
          </cell>
        </row>
        <row r="62">
          <cell r="B62" t="str">
            <v>ICS Triplex Trusted</v>
          </cell>
          <cell r="C62" t="str">
            <v>Schneider</v>
          </cell>
          <cell r="D62" t="str">
            <v>SE</v>
          </cell>
          <cell r="E62" t="str">
            <v>TriplexTrusted</v>
          </cell>
        </row>
        <row r="63">
          <cell r="B63" t="str">
            <v>Triconex MSW</v>
          </cell>
          <cell r="C63" t="str">
            <v>Schneider</v>
          </cell>
          <cell r="D63" t="str">
            <v>SE</v>
          </cell>
          <cell r="E63" t="str">
            <v>MSW</v>
          </cell>
        </row>
        <row r="64">
          <cell r="B64" t="str">
            <v>Triconex TS1131</v>
          </cell>
          <cell r="C64" t="str">
            <v>Schneider</v>
          </cell>
          <cell r="D64" t="str">
            <v>SE</v>
          </cell>
          <cell r="E64" t="str">
            <v>TS1131</v>
          </cell>
        </row>
        <row r="65">
          <cell r="B65" t="str">
            <v>Yokogawa Prosafe RS</v>
          </cell>
          <cell r="C65" t="str">
            <v>Yokogawa</v>
          </cell>
          <cell r="D65" t="str">
            <v>YKGW</v>
          </cell>
          <cell r="E65" t="str">
            <v>ProsafeRS</v>
          </cell>
        </row>
        <row r="66">
          <cell r="B66" t="str">
            <v>GE Mark V</v>
          </cell>
          <cell r="C66" t="str">
            <v>GE</v>
          </cell>
          <cell r="D66" t="str">
            <v>GE</v>
          </cell>
          <cell r="E66" t="str">
            <v>MarkV</v>
          </cell>
        </row>
        <row r="67">
          <cell r="B67" t="str">
            <v>GE Mark VI</v>
          </cell>
          <cell r="C67" t="str">
            <v>GE</v>
          </cell>
          <cell r="D67" t="str">
            <v>GE</v>
          </cell>
          <cell r="E67" t="str">
            <v>MarkVI</v>
          </cell>
        </row>
        <row r="68">
          <cell r="B68" t="str">
            <v>GE Mark VIe</v>
          </cell>
          <cell r="C68" t="str">
            <v>GE</v>
          </cell>
          <cell r="D68" t="str">
            <v>GE</v>
          </cell>
          <cell r="E68" t="str">
            <v>MarkVIe</v>
          </cell>
        </row>
        <row r="69">
          <cell r="B69" t="str">
            <v>Woodward GAP</v>
          </cell>
          <cell r="C69" t="str">
            <v>Woodward</v>
          </cell>
          <cell r="D69" t="str">
            <v>Woodward</v>
          </cell>
          <cell r="E69" t="str">
            <v>GAP</v>
          </cell>
        </row>
        <row r="70">
          <cell r="B70" t="str">
            <v>Bently Nevada 3500</v>
          </cell>
          <cell r="C70" t="str">
            <v>Bently</v>
          </cell>
          <cell r="D70" t="str">
            <v>Bently</v>
          </cell>
          <cell r="E70" t="str">
            <v>BN3500</v>
          </cell>
        </row>
        <row r="71">
          <cell r="B71" t="str">
            <v>SKF Aptitude Observer</v>
          </cell>
          <cell r="C71" t="str">
            <v>SKF</v>
          </cell>
          <cell r="D71" t="str">
            <v>SKF</v>
          </cell>
          <cell r="E71" t="str">
            <v>AptitudeObserver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ssets"/>
      <sheetName val="Look Table"/>
      <sheetName val="Selections"/>
      <sheetName val="6-Assets-Hiearchy_Aux_Assets_24"/>
    </sheetNames>
    <sheetDataSet>
      <sheetData sheetId="0" refreshError="1"/>
      <sheetData sheetId="1" refreshError="1"/>
      <sheetData sheetId="2" refreshError="1">
        <row r="1">
          <cell r="B1" t="str">
            <v>Asset Model</v>
          </cell>
          <cell r="C1" t="str">
            <v>Vendor</v>
          </cell>
          <cell r="D1" t="str">
            <v>Vendor Prefix</v>
          </cell>
          <cell r="E1" t="str">
            <v>Product</v>
          </cell>
        </row>
        <row r="2">
          <cell r="B2" t="str">
            <v>Aspen DMCplus</v>
          </cell>
          <cell r="C2" t="str">
            <v>Aspen</v>
          </cell>
          <cell r="D2" t="str">
            <v>Aspen</v>
          </cell>
          <cell r="E2" t="str">
            <v>DMCplus</v>
          </cell>
        </row>
        <row r="3">
          <cell r="B3" t="str">
            <v>ABB Freelance</v>
          </cell>
          <cell r="C3" t="str">
            <v>ABB</v>
          </cell>
          <cell r="D3" t="str">
            <v>ABB</v>
          </cell>
          <cell r="E3" t="str">
            <v>Freelance</v>
          </cell>
        </row>
        <row r="4">
          <cell r="B4" t="str">
            <v>ABB Harmony</v>
          </cell>
          <cell r="C4" t="str">
            <v>ABB</v>
          </cell>
          <cell r="D4" t="str">
            <v>ABB</v>
          </cell>
          <cell r="E4" t="str">
            <v>Harmony</v>
          </cell>
        </row>
        <row r="5">
          <cell r="B5" t="str">
            <v>ABB Symphony Plus</v>
          </cell>
          <cell r="C5" t="str">
            <v>ABB</v>
          </cell>
          <cell r="D5" t="str">
            <v>ABB</v>
          </cell>
          <cell r="E5" t="str">
            <v>SymphonyPlus</v>
          </cell>
        </row>
        <row r="6">
          <cell r="B6" t="str">
            <v>Dow MOD5</v>
          </cell>
          <cell r="C6" t="str">
            <v>Dow</v>
          </cell>
          <cell r="D6" t="str">
            <v>Dow</v>
          </cell>
          <cell r="E6" t="str">
            <v>MOD5</v>
          </cell>
        </row>
        <row r="7">
          <cell r="B7" t="str">
            <v>Emerson DeltaV</v>
          </cell>
          <cell r="C7" t="str">
            <v>Emerson</v>
          </cell>
          <cell r="D7" t="str">
            <v>EE</v>
          </cell>
          <cell r="E7" t="str">
            <v>DeltaV</v>
          </cell>
        </row>
        <row r="8">
          <cell r="B8" t="str">
            <v>Emerson Ovation</v>
          </cell>
          <cell r="C8" t="str">
            <v>Emerson</v>
          </cell>
          <cell r="D8" t="str">
            <v>EE</v>
          </cell>
          <cell r="E8" t="str">
            <v>Ovation</v>
          </cell>
        </row>
        <row r="9">
          <cell r="B9" t="str">
            <v>Honeywell EPKS</v>
          </cell>
          <cell r="C9" t="str">
            <v>Honeywell</v>
          </cell>
          <cell r="D9" t="str">
            <v>HW</v>
          </cell>
          <cell r="E9" t="str">
            <v>EPKS</v>
          </cell>
        </row>
        <row r="10">
          <cell r="B10" t="str">
            <v>Honeywell TPS</v>
          </cell>
          <cell r="C10" t="str">
            <v>Honeywell</v>
          </cell>
          <cell r="D10" t="str">
            <v>HW</v>
          </cell>
          <cell r="E10" t="str">
            <v>TPS</v>
          </cell>
        </row>
        <row r="11">
          <cell r="B11" t="str">
            <v>Invensys CTS</v>
          </cell>
          <cell r="C11" t="str">
            <v>Schneider</v>
          </cell>
          <cell r="D11" t="str">
            <v>SE</v>
          </cell>
          <cell r="E11" t="str">
            <v>CTS</v>
          </cell>
        </row>
        <row r="12">
          <cell r="B12" t="str">
            <v>Invensys FoxIA</v>
          </cell>
          <cell r="C12" t="str">
            <v>Schneider</v>
          </cell>
          <cell r="D12" t="str">
            <v>SE</v>
          </cell>
          <cell r="E12" t="str">
            <v>FoxIA</v>
          </cell>
        </row>
        <row r="13">
          <cell r="B13" t="str">
            <v>Invensys Infusion</v>
          </cell>
          <cell r="C13" t="str">
            <v>Schneider</v>
          </cell>
          <cell r="D13" t="str">
            <v>SE</v>
          </cell>
          <cell r="E13" t="str">
            <v>Infusion</v>
          </cell>
        </row>
        <row r="14">
          <cell r="B14" t="str">
            <v>Schneider Foxboro Evo</v>
          </cell>
          <cell r="C14" t="str">
            <v>Schneider</v>
          </cell>
          <cell r="D14" t="str">
            <v>SE</v>
          </cell>
          <cell r="E14" t="str">
            <v>FoxboroEvo</v>
          </cell>
        </row>
        <row r="15">
          <cell r="B15" t="str">
            <v>Siemens PCS7</v>
          </cell>
          <cell r="C15" t="str">
            <v>Siemens</v>
          </cell>
          <cell r="D15" t="str">
            <v>SI</v>
          </cell>
          <cell r="E15" t="str">
            <v>PCS7</v>
          </cell>
        </row>
        <row r="16">
          <cell r="B16" t="str">
            <v>Siemens T3000</v>
          </cell>
          <cell r="C16" t="str">
            <v>Siemens</v>
          </cell>
          <cell r="D16" t="str">
            <v>SI</v>
          </cell>
          <cell r="E16" t="str">
            <v>T3000</v>
          </cell>
        </row>
        <row r="17">
          <cell r="B17" t="str">
            <v>Yokogawa Centum CS3000</v>
          </cell>
          <cell r="C17" t="str">
            <v>Yokogawa</v>
          </cell>
          <cell r="D17" t="str">
            <v>YKGW</v>
          </cell>
          <cell r="E17" t="str">
            <v>CentumCS3000</v>
          </cell>
        </row>
        <row r="18">
          <cell r="B18" t="str">
            <v>Yokogawa Centum VP</v>
          </cell>
          <cell r="C18" t="str">
            <v>Yokogawa</v>
          </cell>
          <cell r="D18" t="str">
            <v>YKGW</v>
          </cell>
          <cell r="E18" t="str">
            <v>CentumVP</v>
          </cell>
        </row>
        <row r="19">
          <cell r="B19" t="str">
            <v>[Manual-Inventory]</v>
          </cell>
          <cell r="C19" t="str">
            <v>PAS</v>
          </cell>
          <cell r="D19" t="str">
            <v>PAS</v>
          </cell>
          <cell r="E19" t="str">
            <v>ManualInventory</v>
          </cell>
        </row>
        <row r="20">
          <cell r="B20" t="str">
            <v>Aspen IP21</v>
          </cell>
          <cell r="C20" t="str">
            <v>Aspen</v>
          </cell>
          <cell r="D20" t="str">
            <v>AZPN</v>
          </cell>
          <cell r="E20" t="str">
            <v>IP21</v>
          </cell>
        </row>
        <row r="21">
          <cell r="B21" t="str">
            <v>OSISoft PI</v>
          </cell>
          <cell r="C21" t="str">
            <v>OSI</v>
          </cell>
          <cell r="D21" t="str">
            <v>OSI</v>
          </cell>
          <cell r="E21" t="str">
            <v>PI</v>
          </cell>
        </row>
        <row r="22">
          <cell r="B22" t="str">
            <v>HW PHD</v>
          </cell>
          <cell r="C22" t="str">
            <v>HWL</v>
          </cell>
          <cell r="D22" t="str">
            <v>HWL</v>
          </cell>
          <cell r="E22" t="str">
            <v>PHD</v>
          </cell>
        </row>
        <row r="23">
          <cell r="B23" t="str">
            <v>WonderWare InTouch</v>
          </cell>
          <cell r="C23" t="str">
            <v>Schneider</v>
          </cell>
          <cell r="D23" t="str">
            <v>SE</v>
          </cell>
          <cell r="E23" t="str">
            <v>InTouch</v>
          </cell>
        </row>
        <row r="24">
          <cell r="B24" t="str">
            <v>GE Alspa</v>
          </cell>
          <cell r="C24" t="str">
            <v>GE</v>
          </cell>
          <cell r="D24" t="str">
            <v>GE</v>
          </cell>
          <cell r="E24" t="str">
            <v>Alspa</v>
          </cell>
        </row>
        <row r="25">
          <cell r="B25" t="str">
            <v>HIMA ELOP II</v>
          </cell>
          <cell r="C25" t="str">
            <v>HIMA</v>
          </cell>
          <cell r="D25" t="str">
            <v>HIMA</v>
          </cell>
          <cell r="E25" t="str">
            <v>ELOPII</v>
          </cell>
        </row>
        <row r="26">
          <cell r="B26" t="str">
            <v>Honeywell Intuition Executive</v>
          </cell>
          <cell r="C26" t="str">
            <v>Honeywell</v>
          </cell>
          <cell r="D26" t="str">
            <v>HWL</v>
          </cell>
          <cell r="E26" t="str">
            <v>IntuitionExecutive</v>
          </cell>
        </row>
        <row r="27">
          <cell r="B27" t="str">
            <v>Honeywell Intuition Forms</v>
          </cell>
          <cell r="C27" t="str">
            <v>Honeywell</v>
          </cell>
          <cell r="D27" t="str">
            <v>HWL</v>
          </cell>
          <cell r="E27" t="str">
            <v>IntuitionForms</v>
          </cell>
        </row>
        <row r="28">
          <cell r="B28" t="str">
            <v>Honeywell RMPCT</v>
          </cell>
          <cell r="C28" t="str">
            <v>Honeywell</v>
          </cell>
          <cell r="D28" t="str">
            <v>HWL</v>
          </cell>
          <cell r="E28" t="str">
            <v>RMPCT</v>
          </cell>
        </row>
        <row r="29">
          <cell r="B29" t="str">
            <v>HWL PHD</v>
          </cell>
          <cell r="C29" t="str">
            <v>Honeywell</v>
          </cell>
          <cell r="D29" t="str">
            <v>HWL</v>
          </cell>
          <cell r="E29" t="str">
            <v>PHD</v>
          </cell>
        </row>
        <row r="30">
          <cell r="B30" t="str">
            <v>Intergraph INtools</v>
          </cell>
          <cell r="C30" t="str">
            <v>Integraph</v>
          </cell>
          <cell r="D30" t="str">
            <v>Integraph</v>
          </cell>
          <cell r="E30" t="str">
            <v>INtools</v>
          </cell>
        </row>
        <row r="31">
          <cell r="B31" t="str">
            <v>Intergraph Smart Instrumentation</v>
          </cell>
          <cell r="C31" t="str">
            <v>Integraph</v>
          </cell>
          <cell r="D31" t="str">
            <v>Integraph</v>
          </cell>
          <cell r="E31" t="str">
            <v>SmartIntrument</v>
          </cell>
        </row>
        <row r="32">
          <cell r="B32" t="str">
            <v>PAS Sensor Data Integrity</v>
          </cell>
          <cell r="C32" t="str">
            <v>PAS</v>
          </cell>
          <cell r="D32" t="str">
            <v>PAS</v>
          </cell>
          <cell r="E32" t="str">
            <v>SDI</v>
          </cell>
        </row>
        <row r="33">
          <cell r="B33" t="str">
            <v>SKF Aptitude Observer</v>
          </cell>
          <cell r="C33" t="str">
            <v>SKF</v>
          </cell>
          <cell r="D33" t="str">
            <v>SKF</v>
          </cell>
          <cell r="E33" t="str">
            <v>AptitudeObserver</v>
          </cell>
        </row>
        <row r="34">
          <cell r="B34" t="str">
            <v>Woodward GAP</v>
          </cell>
          <cell r="C34" t="str">
            <v>Woodward</v>
          </cell>
          <cell r="D34" t="str">
            <v>Woodward</v>
          </cell>
          <cell r="E34" t="str">
            <v>GAP</v>
          </cell>
        </row>
        <row r="35">
          <cell r="B35" t="str">
            <v>PAS Network Devices</v>
          </cell>
          <cell r="C35" t="str">
            <v>PAS</v>
          </cell>
          <cell r="D35" t="str">
            <v>PAS</v>
          </cell>
          <cell r="E35" t="str">
            <v>NetworkDevices</v>
          </cell>
        </row>
        <row r="36">
          <cell r="B36" t="str">
            <v>SNMP Network Devices</v>
          </cell>
          <cell r="C36" t="str">
            <v>PAS</v>
          </cell>
          <cell r="D36" t="str">
            <v>PAS</v>
          </cell>
          <cell r="E36" t="str">
            <v>SNMP_NetworkDevices</v>
          </cell>
        </row>
        <row r="37">
          <cell r="B37" t="str">
            <v>PAS Recon</v>
          </cell>
          <cell r="C37" t="str">
            <v>PAS</v>
          </cell>
          <cell r="D37" t="str">
            <v>PAS</v>
          </cell>
          <cell r="E37" t="str">
            <v>Recon</v>
          </cell>
        </row>
        <row r="38">
          <cell r="B38" t="str">
            <v>AB ControlLogix</v>
          </cell>
          <cell r="C38" t="str">
            <v>AB</v>
          </cell>
          <cell r="D38" t="str">
            <v>AB</v>
          </cell>
          <cell r="E38" t="str">
            <v>CtrLogix</v>
          </cell>
        </row>
        <row r="39">
          <cell r="B39" t="str">
            <v>AB PLC5</v>
          </cell>
          <cell r="C39" t="str">
            <v>AB</v>
          </cell>
          <cell r="D39" t="str">
            <v>AB</v>
          </cell>
          <cell r="E39" t="str">
            <v>PLC5</v>
          </cell>
        </row>
        <row r="40">
          <cell r="B40" t="str">
            <v>AB SLC500</v>
          </cell>
          <cell r="C40" t="str">
            <v>AB</v>
          </cell>
          <cell r="D40" t="str">
            <v>AB</v>
          </cell>
          <cell r="E40" t="str">
            <v>SLC500</v>
          </cell>
        </row>
        <row r="41">
          <cell r="B41" t="str">
            <v>ABB 800xA</v>
          </cell>
          <cell r="C41" t="str">
            <v>ABB</v>
          </cell>
          <cell r="D41" t="str">
            <v>ABB</v>
          </cell>
          <cell r="E41" t="str">
            <v>800xA</v>
          </cell>
        </row>
        <row r="42">
          <cell r="B42" t="str">
            <v>GE Fanuc 90</v>
          </cell>
          <cell r="C42" t="str">
            <v>GE</v>
          </cell>
          <cell r="D42" t="str">
            <v>GE</v>
          </cell>
          <cell r="E42" t="str">
            <v>Fanuc90</v>
          </cell>
        </row>
        <row r="43">
          <cell r="B43" t="str">
            <v>GE Proficy ME</v>
          </cell>
          <cell r="C43" t="str">
            <v>GE</v>
          </cell>
          <cell r="D43" t="str">
            <v>GE</v>
          </cell>
          <cell r="E43" t="str">
            <v>ProficyME</v>
          </cell>
        </row>
        <row r="44">
          <cell r="B44" t="str">
            <v>Modicon Proworx</v>
          </cell>
          <cell r="C44" t="str">
            <v>Schneider</v>
          </cell>
          <cell r="D44" t="str">
            <v>SE</v>
          </cell>
          <cell r="E44" t="str">
            <v>Proworx</v>
          </cell>
        </row>
        <row r="45">
          <cell r="B45" t="str">
            <v>Modicon ProWorx32</v>
          </cell>
          <cell r="C45" t="str">
            <v>Schneider</v>
          </cell>
          <cell r="D45" t="str">
            <v>SE</v>
          </cell>
          <cell r="E45" t="str">
            <v>ProWorx32</v>
          </cell>
        </row>
        <row r="46">
          <cell r="B46" t="str">
            <v>Rockwell FactoryTalk AssetCentre</v>
          </cell>
          <cell r="C46" t="str">
            <v>ROK</v>
          </cell>
          <cell r="D46" t="str">
            <v>ROK</v>
          </cell>
          <cell r="E46" t="str">
            <v>AssetCentre</v>
          </cell>
        </row>
        <row r="47">
          <cell r="B47" t="str">
            <v>Rockwell Studio 5000</v>
          </cell>
          <cell r="C47" t="str">
            <v>ROK</v>
          </cell>
          <cell r="D47" t="str">
            <v>ROK</v>
          </cell>
          <cell r="E47" t="str">
            <v>Studio5000</v>
          </cell>
        </row>
        <row r="48">
          <cell r="B48" t="str">
            <v>Schneider Unity Pro</v>
          </cell>
          <cell r="C48" t="str">
            <v>Schneider</v>
          </cell>
          <cell r="D48" t="str">
            <v>SE</v>
          </cell>
          <cell r="E48" t="str">
            <v>UnityPro</v>
          </cell>
        </row>
        <row r="49">
          <cell r="B49" t="str">
            <v>Siemens S7 400</v>
          </cell>
          <cell r="C49" t="str">
            <v>Siemens</v>
          </cell>
          <cell r="D49" t="str">
            <v>SI</v>
          </cell>
          <cell r="E49" t="str">
            <v>S7_400</v>
          </cell>
        </row>
        <row r="50">
          <cell r="B50" t="str">
            <v>ScHWLeitzer Relays</v>
          </cell>
          <cell r="C50" t="str">
            <v>ScHWLeitzer</v>
          </cell>
          <cell r="D50" t="str">
            <v>SEL</v>
          </cell>
          <cell r="E50" t="str">
            <v>Relays</v>
          </cell>
        </row>
        <row r="51">
          <cell r="B51" t="str">
            <v>GE Cimplicity</v>
          </cell>
          <cell r="C51" t="str">
            <v>GE</v>
          </cell>
          <cell r="D51" t="str">
            <v>GE</v>
          </cell>
          <cell r="E51" t="str">
            <v>Cimplicity</v>
          </cell>
        </row>
        <row r="52">
          <cell r="B52" t="str">
            <v>Honeywell FSC</v>
          </cell>
          <cell r="C52" t="str">
            <v>Honeywell</v>
          </cell>
          <cell r="D52" t="str">
            <v>HWL</v>
          </cell>
          <cell r="E52" t="str">
            <v>FSC</v>
          </cell>
        </row>
        <row r="53">
          <cell r="B53" t="str">
            <v>Honeywell LM</v>
          </cell>
          <cell r="C53" t="str">
            <v>Honeywell</v>
          </cell>
          <cell r="D53" t="str">
            <v>HWL</v>
          </cell>
          <cell r="E53" t="str">
            <v>LM</v>
          </cell>
        </row>
        <row r="54">
          <cell r="B54" t="str">
            <v>Honeywell SM</v>
          </cell>
          <cell r="C54" t="str">
            <v>Honeywell</v>
          </cell>
          <cell r="D54" t="str">
            <v>HWL</v>
          </cell>
          <cell r="E54" t="str">
            <v>SM</v>
          </cell>
        </row>
        <row r="55">
          <cell r="B55" t="str">
            <v>ICS Triplex Trusted</v>
          </cell>
          <cell r="C55" t="str">
            <v>Schneider</v>
          </cell>
          <cell r="D55" t="str">
            <v>SE</v>
          </cell>
          <cell r="E55" t="str">
            <v>TriplexTrusted</v>
          </cell>
        </row>
        <row r="56">
          <cell r="B56" t="str">
            <v>Triconex MSW</v>
          </cell>
          <cell r="C56" t="str">
            <v>Schneider</v>
          </cell>
          <cell r="D56" t="str">
            <v>SE</v>
          </cell>
          <cell r="E56" t="str">
            <v>MSW</v>
          </cell>
        </row>
        <row r="57">
          <cell r="B57" t="str">
            <v>Triconex TS1131</v>
          </cell>
          <cell r="C57" t="str">
            <v>Schneider</v>
          </cell>
          <cell r="D57" t="str">
            <v>SE</v>
          </cell>
          <cell r="E57" t="str">
            <v>TRX</v>
          </cell>
        </row>
        <row r="58">
          <cell r="B58" t="str">
            <v>Yokogawa Prosafe RS</v>
          </cell>
          <cell r="C58" t="str">
            <v>Yokogawa</v>
          </cell>
          <cell r="D58" t="str">
            <v>YKGW</v>
          </cell>
          <cell r="E58" t="str">
            <v>ProsafeRS</v>
          </cell>
        </row>
        <row r="59">
          <cell r="B59" t="str">
            <v>Aspen IQ</v>
          </cell>
          <cell r="C59" t="str">
            <v>Aspen</v>
          </cell>
          <cell r="D59" t="str">
            <v>Aspen</v>
          </cell>
          <cell r="E59" t="str">
            <v>IQ</v>
          </cell>
        </row>
        <row r="60">
          <cell r="B60" t="str">
            <v>GE Mark V</v>
          </cell>
          <cell r="C60" t="str">
            <v>GE</v>
          </cell>
          <cell r="D60" t="str">
            <v>GE</v>
          </cell>
          <cell r="E60" t="str">
            <v>MarkV</v>
          </cell>
        </row>
        <row r="61">
          <cell r="B61" t="str">
            <v>GE Mark VI</v>
          </cell>
          <cell r="C61" t="str">
            <v>GE</v>
          </cell>
          <cell r="D61" t="str">
            <v>GE</v>
          </cell>
          <cell r="E61" t="str">
            <v>MarkVI</v>
          </cell>
        </row>
        <row r="62">
          <cell r="B62" t="str">
            <v>Woodward GAP</v>
          </cell>
          <cell r="C62" t="str">
            <v>Woodward</v>
          </cell>
          <cell r="D62" t="str">
            <v>Woodward</v>
          </cell>
          <cell r="E62" t="str">
            <v>GAP</v>
          </cell>
        </row>
        <row r="63">
          <cell r="B63" t="str">
            <v>GE Mark VIe</v>
          </cell>
          <cell r="C63" t="str">
            <v>GE</v>
          </cell>
          <cell r="D63" t="str">
            <v>GE</v>
          </cell>
          <cell r="E63" t="str">
            <v>MarkVIe</v>
          </cell>
        </row>
        <row r="64">
          <cell r="B64" t="str">
            <v>Bently Nevada 3500</v>
          </cell>
          <cell r="C64" t="str">
            <v>Bently</v>
          </cell>
          <cell r="D64" t="str">
            <v>GE</v>
          </cell>
          <cell r="E64" t="str">
            <v>BN3500</v>
          </cell>
        </row>
      </sheetData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C95EA-7B65-4B07-A366-701E85CF2298}" name="Table1" displayName="Table1" ref="A2:M384" totalsRowShown="0" headerRowDxfId="36" headerRowBorderDxfId="35" tableBorderDxfId="34">
  <autoFilter ref="A2:M384" xr:uid="{D8BC95EA-7B65-4B07-A366-701E85CF2298}"/>
  <tableColumns count="13">
    <tableColumn id="1" xr3:uid="{68EEBBA6-77F7-4576-9244-E021115F459C}" name="Company" dataDxfId="33"/>
    <tableColumn id="2" xr3:uid="{7F2C5408-D64D-442A-BF36-6F48A2DD3239}" name="Plants" dataDxfId="32"/>
    <tableColumn id="3" xr3:uid="{3C552609-C44E-46BB-A347-8E61406AD2C3}" name="Units" dataDxfId="31"/>
    <tableColumn id="4" xr3:uid="{B4069D77-5B12-45B0-9BED-CF3FED139A04}" name="Sub-Area" dataDxfId="30"/>
    <tableColumn id="5" xr3:uid="{53A77FC0-DE62-4EEA-92DE-7122618E3C7B}" name="Asset Type" dataDxfId="29"/>
    <tableColumn id="6" xr3:uid="{35DC9D79-1D19-47E5-A8E0-C5622D858724}" name="Asset Model" dataDxfId="28"/>
    <tableColumn id="7" xr3:uid="{53AE1FD2-D463-48A8-9C32-F398E8838C17}" name="Vendor Prefix" dataDxfId="27">
      <calculatedColumnFormula>_xlfn.IFNA(VLOOKUP(F3,'Look Table'!B$1:E$64,2,FALSE),"")</calculatedColumnFormula>
    </tableColumn>
    <tableColumn id="8" xr3:uid="{B9D130DC-A328-442B-8EDB-EFC0AA7186A2}" name="Product" dataDxfId="26">
      <calculatedColumnFormula>_xlfn.IFNA(VLOOKUP(F3,'Look Table'!B$1:E$64,4,FALSE),"")</calculatedColumnFormula>
    </tableColumn>
    <tableColumn id="9" xr3:uid="{974D6B4A-B742-4BEC-98E5-DBF0D7F92A14}" name="Data Drive" dataDxfId="25"/>
    <tableColumn id="10" xr3:uid="{0AD211EC-D858-4870-A4A3-88715AD00154}" name="Asset Prefix" dataDxfId="24">
      <calculatedColumnFormula>_xlfn.TEXTJOIN("_",TRUE,B3:C3)</calculatedColumnFormula>
    </tableColumn>
    <tableColumn id="11" xr3:uid="{891279AB-8B3E-41FB-9A65-BA04E9FB8925}" name="Suggested Asset Naming" dataDxfId="23">
      <calculatedColumnFormula>J3&amp;"_"&amp;E3&amp;IF(ISNUMBER(SEARCH("PAS",G3)),"","_")&amp;(_xlfn.TEXTJOIN("_",TRUE,IF(G3 &lt;&gt; "PAS",G3:H3,""))&amp;(IF(Table1[[#This Row],[Sub-Area]]&lt;&gt;"",_xlfn.CONCAT("_",Table1[[#This Row],[Sub-Area]]),"")))</calculatedColumnFormula>
    </tableColumn>
    <tableColumn id="12" xr3:uid="{F36CDF01-DA20-436A-93F6-15DEADD2B1CE}" name="Suggested Folder Naming" dataDxfId="22">
      <calculatedColumnFormula>IF(I3 &lt;&gt; "",I3&amp;":\PAS\CBR\ProcessedFiles\"&amp;Table1[[#This Row],[Units]]&amp;"\"&amp;Table1[[#This Row],[Asset Type]]&amp;"\"&amp;K3,"")</calculatedColumnFormula>
    </tableColumn>
    <tableColumn id="13" xr3:uid="{539EF494-1ACF-4F7B-B1BC-5905D73316BE}" name="MDIR Commands" dataDxfId="21">
      <calculatedColumnFormula>"MKDIR "&amp;Table1[[#This Row],[Suggested Folder Naming]]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719F-89ED-4781-9157-2BEBD3AFAE9E}">
  <dimension ref="A1"/>
  <sheetViews>
    <sheetView workbookViewId="0">
      <selection sqref="A1:XFD1048576"/>
    </sheetView>
  </sheetViews>
  <sheetFormatPr defaultColWidth="9.140625" defaultRowHeight="15" x14ac:dyDescent="0.25"/>
  <cols>
    <col min="1" max="1" width="251.140625" customWidth="1"/>
  </cols>
  <sheetData>
    <row r="1" spans="1:1" ht="183.75" x14ac:dyDescent="0.4">
      <c r="A1" s="2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481C-D032-460C-8BCB-2F2CC17C5363}">
  <sheetPr codeName="Sheet1"/>
  <dimension ref="A1:M384"/>
  <sheetViews>
    <sheetView tabSelected="1" zoomScale="145" zoomScaleNormal="145" workbookViewId="0">
      <pane ySplit="1" topLeftCell="A371" activePane="bottomLeft" state="frozen"/>
      <selection pane="bottomLeft" activeCell="F3" sqref="F3:F384"/>
    </sheetView>
  </sheetViews>
  <sheetFormatPr defaultColWidth="9.140625" defaultRowHeight="15" x14ac:dyDescent="0.25"/>
  <cols>
    <col min="1" max="1" width="22.140625" style="13" customWidth="1"/>
    <col min="2" max="2" width="20.42578125" style="14" bestFit="1" customWidth="1"/>
    <col min="3" max="3" width="25" style="14" customWidth="1"/>
    <col min="4" max="4" width="33.140625" style="15" bestFit="1" customWidth="1"/>
    <col min="5" max="5" width="16.42578125" style="13" bestFit="1" customWidth="1"/>
    <col min="6" max="6" width="22.7109375" bestFit="1" customWidth="1"/>
    <col min="7" max="7" width="12" customWidth="1"/>
    <col min="8" max="8" width="17" bestFit="1" customWidth="1"/>
    <col min="9" max="9" width="12" style="16" customWidth="1"/>
    <col min="10" max="10" width="37.5703125" customWidth="1"/>
    <col min="11" max="11" width="82.7109375" customWidth="1"/>
    <col min="12" max="12" width="99.7109375" style="15" bestFit="1" customWidth="1"/>
    <col min="13" max="13" width="99.85546875" bestFit="1" customWidth="1"/>
  </cols>
  <sheetData>
    <row r="1" spans="1:13" s="1" customFormat="1" ht="93.75" x14ac:dyDescent="0.25">
      <c r="A1" s="4" t="s">
        <v>1</v>
      </c>
      <c r="B1" s="4" t="s">
        <v>2</v>
      </c>
      <c r="C1" s="4" t="s">
        <v>3</v>
      </c>
      <c r="D1" s="6" t="s">
        <v>4</v>
      </c>
      <c r="E1" s="20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  <c r="K1" s="5" t="s">
        <v>11</v>
      </c>
      <c r="L1" s="5" t="s">
        <v>12</v>
      </c>
    </row>
    <row r="2" spans="1:13" s="29" customFormat="1" ht="26.25" customHeight="1" x14ac:dyDescent="0.25">
      <c r="A2" s="23" t="s">
        <v>13</v>
      </c>
      <c r="B2" s="24" t="s">
        <v>14</v>
      </c>
      <c r="C2" s="25" t="s">
        <v>15</v>
      </c>
      <c r="D2" s="26" t="s">
        <v>16</v>
      </c>
      <c r="E2" s="27" t="s">
        <v>17</v>
      </c>
      <c r="F2" s="27" t="s">
        <v>18</v>
      </c>
      <c r="G2" s="27" t="s">
        <v>19</v>
      </c>
      <c r="H2" s="27" t="s">
        <v>20</v>
      </c>
      <c r="I2" s="27" t="s">
        <v>21</v>
      </c>
      <c r="J2" s="27" t="s">
        <v>22</v>
      </c>
      <c r="K2" s="28" t="s">
        <v>23</v>
      </c>
      <c r="L2" s="28" t="s">
        <v>24</v>
      </c>
      <c r="M2" s="27" t="s">
        <v>25</v>
      </c>
    </row>
    <row r="3" spans="1:13" s="1" customFormat="1" x14ac:dyDescent="0.25">
      <c r="A3" s="21"/>
      <c r="B3" s="7" t="s">
        <v>584</v>
      </c>
      <c r="C3" s="8" t="s">
        <v>477</v>
      </c>
      <c r="D3" s="19"/>
      <c r="E3" s="30" t="s">
        <v>27</v>
      </c>
      <c r="F3" s="31" t="s">
        <v>28</v>
      </c>
      <c r="G3" s="31" t="str">
        <f>_xlfn.IFNA(VLOOKUP(F3,'Look Table'!B$1:E$64,3,FALSE),"")</f>
        <v>PAS</v>
      </c>
      <c r="H3" s="31" t="str">
        <f>_xlfn.IFNA(VLOOKUP(F3,'Look Table'!B$1:E$64,4,FALSE),"")</f>
        <v>ManualInventory</v>
      </c>
      <c r="I3" s="41" t="s">
        <v>463</v>
      </c>
      <c r="J3" s="31" t="str">
        <f t="shared" ref="J3:J66" si="0">_xlfn.TEXTJOIN("_",TRUE,B3:C3)</f>
        <v>LAR_CAR</v>
      </c>
      <c r="K3" s="3" t="str">
        <f>J3&amp;"_"&amp;E3&amp;IF(ISNUMBER(SEARCH("PAS",G3)),"","_")&amp;(_xlfn.TEXTJOIN("_",TRUE,IF(G3 &lt;&gt; "PAS",G3:H3,""))&amp;(IF(Table1[[#This Row],[Sub-Area]]&lt;&gt;"",_xlfn.CONCAT("_",Table1[[#This Row],[Sub-Area]]),"")))</f>
        <v>LAR_CAR_ManualInventory</v>
      </c>
      <c r="L3" s="32" t="str">
        <f>IF(I3 &lt;&gt; "",I3&amp;":\PAS\CBR\ProcessedFiles\"&amp;Table1[[#This Row],[Units]]&amp;"\"&amp;Table1[[#This Row],[Asset Type]]&amp;"\"&amp;K3,"")</f>
        <v>D:\PAS\CBR\ProcessedFiles\CAR\ManualInventory\LAR_CAR_ManualInventory</v>
      </c>
      <c r="M3" s="33" t="str">
        <f>"MKDIR "&amp;Table1[[#This Row],[Suggested Folder Naming]]</f>
        <v>MKDIR D:\PAS\CBR\ProcessedFiles\CAR\ManualInventory\LAR_CAR_ManualInventory</v>
      </c>
    </row>
    <row r="4" spans="1:13" s="1" customFormat="1" x14ac:dyDescent="0.25">
      <c r="A4" s="21"/>
      <c r="B4" s="7" t="s">
        <v>584</v>
      </c>
      <c r="C4" s="8" t="s">
        <v>480</v>
      </c>
      <c r="D4" s="19"/>
      <c r="E4" s="30" t="s">
        <v>27</v>
      </c>
      <c r="F4" s="31" t="s">
        <v>28</v>
      </c>
      <c r="G4" s="31" t="str">
        <f>_xlfn.IFNA(VLOOKUP(F4,'Look Table'!B$1:E$64,3,FALSE),"")</f>
        <v>PAS</v>
      </c>
      <c r="H4" s="31" t="str">
        <f>_xlfn.IFNA(VLOOKUP(F4,'Look Table'!B$1:E$64,4,FALSE),"")</f>
        <v>ManualInventory</v>
      </c>
      <c r="I4" s="41" t="s">
        <v>463</v>
      </c>
      <c r="J4" s="31" t="str">
        <f t="shared" si="0"/>
        <v>LAR_WCC</v>
      </c>
      <c r="K4" s="3" t="str">
        <f>J4&amp;"_"&amp;E4&amp;IF(ISNUMBER(SEARCH("PAS",G4)),"","_")&amp;(_xlfn.TEXTJOIN("_",TRUE,IF(G4 &lt;&gt; "PAS",G4:H4,""))&amp;(IF(Table1[[#This Row],[Sub-Area]]&lt;&gt;"",_xlfn.CONCAT("_",Table1[[#This Row],[Sub-Area]]),"")))</f>
        <v>LAR_WCC_ManualInventory</v>
      </c>
      <c r="L4" s="32" t="str">
        <f>IF(I4 &lt;&gt; "",I4&amp;":\PAS\CBR\ProcessedFiles\"&amp;Table1[[#This Row],[Units]]&amp;"\"&amp;Table1[[#This Row],[Asset Type]]&amp;"\"&amp;K4,"")</f>
        <v>D:\PAS\CBR\ProcessedFiles\WCC\ManualInventory\LAR_WCC_ManualInventory</v>
      </c>
      <c r="M4" s="33" t="str">
        <f>"MKDIR "&amp;Table1[[#This Row],[Suggested Folder Naming]]</f>
        <v>MKDIR D:\PAS\CBR\ProcessedFiles\WCC\ManualInventory\LAR_WCC_ManualInventory</v>
      </c>
    </row>
    <row r="5" spans="1:13" s="1" customFormat="1" x14ac:dyDescent="0.25">
      <c r="A5" s="21"/>
      <c r="B5" s="7" t="s">
        <v>584</v>
      </c>
      <c r="C5" s="8" t="s">
        <v>475</v>
      </c>
      <c r="D5" s="19"/>
      <c r="E5" s="30" t="s">
        <v>27</v>
      </c>
      <c r="F5" s="31" t="s">
        <v>28</v>
      </c>
      <c r="G5" s="31" t="str">
        <f>_xlfn.IFNA(VLOOKUP(F5,'Look Table'!B$1:E$64,3,FALSE),"")</f>
        <v>PAS</v>
      </c>
      <c r="H5" s="31" t="str">
        <f>_xlfn.IFNA(VLOOKUP(F5,'Look Table'!B$1:E$64,4,FALSE),"")</f>
        <v>ManualInventory</v>
      </c>
      <c r="I5" s="41" t="s">
        <v>463</v>
      </c>
      <c r="J5" s="31" t="str">
        <f t="shared" si="0"/>
        <v>LAR_WIL</v>
      </c>
      <c r="K5" s="3" t="str">
        <f>J5&amp;"_"&amp;E5&amp;IF(ISNUMBER(SEARCH("PAS",G5)),"","_")&amp;(_xlfn.TEXTJOIN("_",TRUE,IF(G5 &lt;&gt; "PAS",G5:H5,""))&amp;(IF(Table1[[#This Row],[Sub-Area]]&lt;&gt;"",_xlfn.CONCAT("_",Table1[[#This Row],[Sub-Area]]),"")))</f>
        <v>LAR_WIL_ManualInventory</v>
      </c>
      <c r="L5" s="32" t="str">
        <f>IF(I5 &lt;&gt; "",I5&amp;":\PAS\CBR\ProcessedFiles\"&amp;Table1[[#This Row],[Units]]&amp;"\"&amp;Table1[[#This Row],[Asset Type]]&amp;"\"&amp;K5,"")</f>
        <v>D:\PAS\CBR\ProcessedFiles\WIL\ManualInventory\LAR_WIL_ManualInventory</v>
      </c>
      <c r="M5" s="33" t="str">
        <f>"MKDIR "&amp;Table1[[#This Row],[Suggested Folder Naming]]</f>
        <v>MKDIR D:\PAS\CBR\ProcessedFiles\WIL\ManualInventory\LAR_WIL_ManualInventory</v>
      </c>
    </row>
    <row r="6" spans="1:13" s="1" customFormat="1" x14ac:dyDescent="0.25">
      <c r="A6" s="21"/>
      <c r="B6" s="7" t="s">
        <v>584</v>
      </c>
      <c r="C6" s="8" t="s">
        <v>477</v>
      </c>
      <c r="D6" s="19" t="s">
        <v>62</v>
      </c>
      <c r="E6" s="30" t="s">
        <v>31</v>
      </c>
      <c r="F6" s="31" t="s">
        <v>32</v>
      </c>
      <c r="G6" s="31" t="s">
        <v>36</v>
      </c>
      <c r="H6" s="31" t="s">
        <v>37</v>
      </c>
      <c r="I6" s="41" t="s">
        <v>463</v>
      </c>
      <c r="J6" s="31" t="str">
        <f t="shared" si="0"/>
        <v>LAR_CAR</v>
      </c>
      <c r="K6" s="3" t="str">
        <f>J6&amp;"_"&amp;E6&amp;IF(ISNUMBER(SEARCH("PAS",G6)),"","_")&amp;(_xlfn.TEXTJOIN("_",TRUE,IF(G6 &lt;&gt; "PAS",G6:H6,""))&amp;(IF(Table1[[#This Row],[Sub-Area]]&lt;&gt;"",_xlfn.CONCAT("_",Table1[[#This Row],[Sub-Area]]),"")))</f>
        <v>LAR_CAR_PLC_AB_CtrLogix_17PLC_9057</v>
      </c>
      <c r="L6" s="32" t="str">
        <f>IF(I6 &lt;&gt; "",I6&amp;":\PAS\CBR\ProcessedFiles\"&amp;Table1[[#This Row],[Units]]&amp;"\"&amp;Table1[[#This Row],[Asset Type]]&amp;"\"&amp;K6,"")</f>
        <v>D:\PAS\CBR\ProcessedFiles\CAR\PLC\LAR_CAR_PLC_AB_CtrLogix_17PLC_9057</v>
      </c>
      <c r="M6" s="33" t="str">
        <f>"MKDIR "&amp;Table1[[#This Row],[Suggested Folder Naming]]</f>
        <v>MKDIR D:\PAS\CBR\ProcessedFiles\CAR\PLC\LAR_CAR_PLC_AB_CtrLogix_17PLC_9057</v>
      </c>
    </row>
    <row r="7" spans="1:13" s="1" customFormat="1" x14ac:dyDescent="0.25">
      <c r="A7" s="21"/>
      <c r="B7" s="7" t="s">
        <v>584</v>
      </c>
      <c r="C7" s="8" t="s">
        <v>477</v>
      </c>
      <c r="D7" s="19" t="s">
        <v>62</v>
      </c>
      <c r="E7" s="30" t="s">
        <v>31</v>
      </c>
      <c r="F7" s="31" t="s">
        <v>32</v>
      </c>
      <c r="G7" s="31" t="str">
        <f>_xlfn.IFNA(VLOOKUP(F7,'Look Table'!B$1:E$64,3,FALSE),"")</f>
        <v>AB</v>
      </c>
      <c r="H7" s="31" t="str">
        <f>_xlfn.IFNA(VLOOKUP(F7,'Look Table'!B$1:E$64,4,FALSE),"")</f>
        <v>CtrLogix</v>
      </c>
      <c r="I7" s="41" t="s">
        <v>463</v>
      </c>
      <c r="J7" s="31" t="str">
        <f t="shared" si="0"/>
        <v>LAR_CAR</v>
      </c>
      <c r="K7" s="3" t="str">
        <f>J7&amp;"_"&amp;E7&amp;IF(ISNUMBER(SEARCH("PAS",G7)),"","_")&amp;(_xlfn.TEXTJOIN("_",TRUE,IF(G7 &lt;&gt; "PAS",G7:H7,""))&amp;(IF(Table1[[#This Row],[Sub-Area]]&lt;&gt;"",_xlfn.CONCAT("_",Table1[[#This Row],[Sub-Area]]),"")))</f>
        <v>LAR_CAR_PLC_AB_CtrLogix_17PLC_9057</v>
      </c>
      <c r="L7" s="32" t="str">
        <f>IF(I7 &lt;&gt; "",I7&amp;":\PAS\CBR\ProcessedFiles\"&amp;Table1[[#This Row],[Units]]&amp;"\"&amp;Table1[[#This Row],[Asset Type]]&amp;"\"&amp;K7,"")</f>
        <v>D:\PAS\CBR\ProcessedFiles\CAR\PLC\LAR_CAR_PLC_AB_CtrLogix_17PLC_9057</v>
      </c>
      <c r="M7" s="33" t="str">
        <f>"MKDIR "&amp;Table1[[#This Row],[Suggested Folder Naming]]</f>
        <v>MKDIR D:\PAS\CBR\ProcessedFiles\CAR\PLC\LAR_CAR_PLC_AB_CtrLogix_17PLC_9057</v>
      </c>
    </row>
    <row r="8" spans="1:13" s="1" customFormat="1" x14ac:dyDescent="0.25">
      <c r="A8" s="21"/>
      <c r="B8" s="7" t="s">
        <v>584</v>
      </c>
      <c r="C8" s="8" t="s">
        <v>477</v>
      </c>
      <c r="D8" s="19" t="s">
        <v>30</v>
      </c>
      <c r="E8" s="30" t="s">
        <v>31</v>
      </c>
      <c r="F8" s="31" t="s">
        <v>32</v>
      </c>
      <c r="G8" s="31" t="s">
        <v>36</v>
      </c>
      <c r="H8" s="31" t="s">
        <v>37</v>
      </c>
      <c r="I8" s="41" t="s">
        <v>463</v>
      </c>
      <c r="J8" s="31" t="str">
        <f t="shared" si="0"/>
        <v>LAR_CAR</v>
      </c>
      <c r="K8" s="3" t="str">
        <f>J8&amp;"_"&amp;E8&amp;IF(ISNUMBER(SEARCH("PAS",G8)),"","_")&amp;(_xlfn.TEXTJOIN("_",TRUE,IF(G8 &lt;&gt; "PAS",G8:H8,""))&amp;(IF(Table1[[#This Row],[Sub-Area]]&lt;&gt;"",_xlfn.CONCAT("_",Table1[[#This Row],[Sub-Area]]),"")))</f>
        <v>LAR_CAR_PLC_AB_CtrLogix_61PLC_9337</v>
      </c>
      <c r="L8" s="32" t="str">
        <f>IF(I8 &lt;&gt; "",I8&amp;":\PAS\CBR\ProcessedFiles\"&amp;Table1[[#This Row],[Units]]&amp;"\"&amp;Table1[[#This Row],[Asset Type]]&amp;"\"&amp;K8,"")</f>
        <v>D:\PAS\CBR\ProcessedFiles\CAR\PLC\LAR_CAR_PLC_AB_CtrLogix_61PLC_9337</v>
      </c>
      <c r="M8" s="33" t="str">
        <f>"MKDIR "&amp;Table1[[#This Row],[Suggested Folder Naming]]</f>
        <v>MKDIR D:\PAS\CBR\ProcessedFiles\CAR\PLC\LAR_CAR_PLC_AB_CtrLogix_61PLC_9337</v>
      </c>
    </row>
    <row r="9" spans="1:13" s="1" customFormat="1" x14ac:dyDescent="0.25">
      <c r="A9" s="21"/>
      <c r="B9" s="7" t="s">
        <v>584</v>
      </c>
      <c r="C9" s="8" t="s">
        <v>477</v>
      </c>
      <c r="D9" s="19" t="s">
        <v>33</v>
      </c>
      <c r="E9" s="30" t="s">
        <v>31</v>
      </c>
      <c r="F9" s="31" t="s">
        <v>32</v>
      </c>
      <c r="G9" s="31" t="s">
        <v>36</v>
      </c>
      <c r="H9" s="31" t="s">
        <v>37</v>
      </c>
      <c r="I9" s="41" t="s">
        <v>463</v>
      </c>
      <c r="J9" s="31" t="str">
        <f t="shared" si="0"/>
        <v>LAR_CAR</v>
      </c>
      <c r="K9" s="3" t="str">
        <f>J9&amp;"_"&amp;E9&amp;IF(ISNUMBER(SEARCH("PAS",G9)),"","_")&amp;(_xlfn.TEXTJOIN("_",TRUE,IF(G9 &lt;&gt; "PAS",G9:H9,""))&amp;(IF(Table1[[#This Row],[Sub-Area]]&lt;&gt;"",_xlfn.CONCAT("_",Table1[[#This Row],[Sub-Area]]),"")))</f>
        <v>LAR_CAR_PLC_AB_CtrLogix_61PLC_9347</v>
      </c>
      <c r="L9" s="32" t="str">
        <f>IF(I9 &lt;&gt; "",I9&amp;":\PAS\CBR\ProcessedFiles\"&amp;Table1[[#This Row],[Units]]&amp;"\"&amp;Table1[[#This Row],[Asset Type]]&amp;"\"&amp;K9,"")</f>
        <v>D:\PAS\CBR\ProcessedFiles\CAR\PLC\LAR_CAR_PLC_AB_CtrLogix_61PLC_9347</v>
      </c>
      <c r="M9" s="33" t="str">
        <f>"MKDIR "&amp;Table1[[#This Row],[Suggested Folder Naming]]</f>
        <v>MKDIR D:\PAS\CBR\ProcessedFiles\CAR\PLC\LAR_CAR_PLC_AB_CtrLogix_61PLC_9347</v>
      </c>
    </row>
    <row r="10" spans="1:13" s="1" customFormat="1" x14ac:dyDescent="0.25">
      <c r="A10" s="21"/>
      <c r="B10" s="7" t="s">
        <v>584</v>
      </c>
      <c r="C10" s="8" t="s">
        <v>477</v>
      </c>
      <c r="D10" s="19" t="s">
        <v>34</v>
      </c>
      <c r="E10" s="30" t="s">
        <v>31</v>
      </c>
      <c r="F10" s="31" t="s">
        <v>32</v>
      </c>
      <c r="G10" s="31" t="s">
        <v>36</v>
      </c>
      <c r="H10" s="31" t="s">
        <v>37</v>
      </c>
      <c r="I10" s="41" t="s">
        <v>463</v>
      </c>
      <c r="J10" s="31" t="str">
        <f t="shared" si="0"/>
        <v>LAR_CAR</v>
      </c>
      <c r="K10" s="3" t="str">
        <f>J10&amp;"_"&amp;E10&amp;IF(ISNUMBER(SEARCH("PAS",G10)),"","_")&amp;(_xlfn.TEXTJOIN("_",TRUE,IF(G10 &lt;&gt; "PAS",G10:H10,""))&amp;(IF(Table1[[#This Row],[Sub-Area]]&lt;&gt;"",_xlfn.CONCAT("_",Table1[[#This Row],[Sub-Area]]),"")))</f>
        <v>LAR_CAR_PLC_AB_CtrLogix_61PLC_9348</v>
      </c>
      <c r="L10" s="32" t="str">
        <f>IF(I10 &lt;&gt; "",I10&amp;":\PAS\CBR\ProcessedFiles\"&amp;Table1[[#This Row],[Units]]&amp;"\"&amp;Table1[[#This Row],[Asset Type]]&amp;"\"&amp;K10,"")</f>
        <v>D:\PAS\CBR\ProcessedFiles\CAR\PLC\LAR_CAR_PLC_AB_CtrLogix_61PLC_9348</v>
      </c>
      <c r="M10" s="33" t="str">
        <f>"MKDIR "&amp;Table1[[#This Row],[Suggested Folder Naming]]</f>
        <v>MKDIR D:\PAS\CBR\ProcessedFiles\CAR\PLC\LAR_CAR_PLC_AB_CtrLogix_61PLC_9348</v>
      </c>
    </row>
    <row r="11" spans="1:13" s="1" customFormat="1" x14ac:dyDescent="0.25">
      <c r="A11" s="21"/>
      <c r="B11" s="7" t="s">
        <v>584</v>
      </c>
      <c r="C11" s="8" t="s">
        <v>477</v>
      </c>
      <c r="D11" s="19" t="s">
        <v>35</v>
      </c>
      <c r="E11" s="30" t="s">
        <v>31</v>
      </c>
      <c r="F11" s="31" t="s">
        <v>32</v>
      </c>
      <c r="G11" s="31" t="s">
        <v>36</v>
      </c>
      <c r="H11" s="31" t="s">
        <v>37</v>
      </c>
      <c r="I11" s="41" t="s">
        <v>463</v>
      </c>
      <c r="J11" s="31" t="str">
        <f t="shared" si="0"/>
        <v>LAR_CAR</v>
      </c>
      <c r="K11" s="3" t="str">
        <f>J11&amp;"_"&amp;E11&amp;IF(ISNUMBER(SEARCH("PAS",G11)),"","_")&amp;(_xlfn.TEXTJOIN("_",TRUE,IF(G11 &lt;&gt; "PAS",G11:H11,""))&amp;(IF(Table1[[#This Row],[Sub-Area]]&lt;&gt;"",_xlfn.CONCAT("_",Table1[[#This Row],[Sub-Area]]),"")))</f>
        <v>LAR_CAR_PLC_AB_CtrLogix_70PLC_9318</v>
      </c>
      <c r="L11" s="32" t="str">
        <f>IF(I11 &lt;&gt; "",I11&amp;":\PAS\CBR\ProcessedFiles\"&amp;Table1[[#This Row],[Units]]&amp;"\"&amp;Table1[[#This Row],[Asset Type]]&amp;"\"&amp;K11,"")</f>
        <v>D:\PAS\CBR\ProcessedFiles\CAR\PLC\LAR_CAR_PLC_AB_CtrLogix_70PLC_9318</v>
      </c>
      <c r="M11" s="33" t="str">
        <f>"MKDIR "&amp;Table1[[#This Row],[Suggested Folder Naming]]</f>
        <v>MKDIR D:\PAS\CBR\ProcessedFiles\CAR\PLC\LAR_CAR_PLC_AB_CtrLogix_70PLC_9318</v>
      </c>
    </row>
    <row r="12" spans="1:13" s="1" customFormat="1" x14ac:dyDescent="0.25">
      <c r="A12" s="21"/>
      <c r="B12" s="7" t="s">
        <v>584</v>
      </c>
      <c r="C12" s="8" t="s">
        <v>477</v>
      </c>
      <c r="D12" s="19" t="s">
        <v>38</v>
      </c>
      <c r="E12" s="30" t="s">
        <v>31</v>
      </c>
      <c r="F12" s="31" t="s">
        <v>32</v>
      </c>
      <c r="G12" s="31" t="s">
        <v>36</v>
      </c>
      <c r="H12" s="31" t="s">
        <v>37</v>
      </c>
      <c r="I12" s="41" t="s">
        <v>463</v>
      </c>
      <c r="J12" s="31" t="str">
        <f t="shared" si="0"/>
        <v>LAR_CAR</v>
      </c>
      <c r="K12" s="3" t="str">
        <f>J12&amp;"_"&amp;E12&amp;IF(ISNUMBER(SEARCH("PAS",G12)),"","_")&amp;(_xlfn.TEXTJOIN("_",TRUE,IF(G12 &lt;&gt; "PAS",G12:H12,""))&amp;(IF(Table1[[#This Row],[Sub-Area]]&lt;&gt;"",_xlfn.CONCAT("_",Table1[[#This Row],[Sub-Area]]),"")))</f>
        <v>LAR_CAR_PLC_AB_CtrLogix_70PLC_9325</v>
      </c>
      <c r="L12" s="32" t="str">
        <f>IF(I12 &lt;&gt; "",I12&amp;":\PAS\CBR\ProcessedFiles\"&amp;Table1[[#This Row],[Units]]&amp;"\"&amp;Table1[[#This Row],[Asset Type]]&amp;"\"&amp;K12,"")</f>
        <v>D:\PAS\CBR\ProcessedFiles\CAR\PLC\LAR_CAR_PLC_AB_CtrLogix_70PLC_9325</v>
      </c>
      <c r="M12" s="33" t="str">
        <f>"MKDIR "&amp;Table1[[#This Row],[Suggested Folder Naming]]</f>
        <v>MKDIR D:\PAS\CBR\ProcessedFiles\CAR\PLC\LAR_CAR_PLC_AB_CtrLogix_70PLC_9325</v>
      </c>
    </row>
    <row r="13" spans="1:13" s="1" customFormat="1" x14ac:dyDescent="0.25">
      <c r="A13" s="21"/>
      <c r="B13" s="7" t="s">
        <v>584</v>
      </c>
      <c r="C13" s="8" t="s">
        <v>477</v>
      </c>
      <c r="D13" s="19" t="s">
        <v>39</v>
      </c>
      <c r="E13" s="30" t="s">
        <v>31</v>
      </c>
      <c r="F13" s="31" t="s">
        <v>32</v>
      </c>
      <c r="G13" s="31" t="s">
        <v>36</v>
      </c>
      <c r="H13" s="31" t="s">
        <v>37</v>
      </c>
      <c r="I13" s="41" t="s">
        <v>463</v>
      </c>
      <c r="J13" s="31" t="str">
        <f t="shared" si="0"/>
        <v>LAR_CAR</v>
      </c>
      <c r="K13" s="3" t="str">
        <f>J13&amp;"_"&amp;E13&amp;IF(ISNUMBER(SEARCH("PAS",G13)),"","_")&amp;(_xlfn.TEXTJOIN("_",TRUE,IF(G13 &lt;&gt; "PAS",G13:H13,""))&amp;(IF(Table1[[#This Row],[Sub-Area]]&lt;&gt;"",_xlfn.CONCAT("_",Table1[[#This Row],[Sub-Area]]),"")))</f>
        <v>LAR_CAR_PLC_AB_CtrLogix_73PLC_9330</v>
      </c>
      <c r="L13" s="32" t="str">
        <f>IF(I13 &lt;&gt; "",I13&amp;":\PAS\CBR\ProcessedFiles\"&amp;Table1[[#This Row],[Units]]&amp;"\"&amp;Table1[[#This Row],[Asset Type]]&amp;"\"&amp;K13,"")</f>
        <v>D:\PAS\CBR\ProcessedFiles\CAR\PLC\LAR_CAR_PLC_AB_CtrLogix_73PLC_9330</v>
      </c>
      <c r="M13" s="33" t="str">
        <f>"MKDIR "&amp;Table1[[#This Row],[Suggested Folder Naming]]</f>
        <v>MKDIR D:\PAS\CBR\ProcessedFiles\CAR\PLC\LAR_CAR_PLC_AB_CtrLogix_73PLC_9330</v>
      </c>
    </row>
    <row r="14" spans="1:13" s="1" customFormat="1" x14ac:dyDescent="0.25">
      <c r="A14" s="21"/>
      <c r="B14" s="7" t="s">
        <v>584</v>
      </c>
      <c r="C14" s="8" t="s">
        <v>477</v>
      </c>
      <c r="D14" s="19" t="s">
        <v>40</v>
      </c>
      <c r="E14" s="30" t="s">
        <v>31</v>
      </c>
      <c r="F14" s="31" t="s">
        <v>32</v>
      </c>
      <c r="G14" s="31" t="s">
        <v>36</v>
      </c>
      <c r="H14" s="31" t="s">
        <v>37</v>
      </c>
      <c r="I14" s="41" t="s">
        <v>463</v>
      </c>
      <c r="J14" s="31" t="str">
        <f t="shared" si="0"/>
        <v>LAR_CAR</v>
      </c>
      <c r="K14" s="3" t="str">
        <f>J14&amp;"_"&amp;E14&amp;IF(ISNUMBER(SEARCH("PAS",G14)),"","_")&amp;(_xlfn.TEXTJOIN("_",TRUE,IF(G14 &lt;&gt; "PAS",G14:H14,""))&amp;(IF(Table1[[#This Row],[Sub-Area]]&lt;&gt;"",_xlfn.CONCAT("_",Table1[[#This Row],[Sub-Area]]),"")))</f>
        <v>LAR_CAR_PLC_AB_CtrLogix_74PLC_9338</v>
      </c>
      <c r="L14" s="32" t="str">
        <f>IF(I14 &lt;&gt; "",I14&amp;":\PAS\CBR\ProcessedFiles\"&amp;Table1[[#This Row],[Units]]&amp;"\"&amp;Table1[[#This Row],[Asset Type]]&amp;"\"&amp;K14,"")</f>
        <v>D:\PAS\CBR\ProcessedFiles\CAR\PLC\LAR_CAR_PLC_AB_CtrLogix_74PLC_9338</v>
      </c>
      <c r="M14" s="33" t="str">
        <f>"MKDIR "&amp;Table1[[#This Row],[Suggested Folder Naming]]</f>
        <v>MKDIR D:\PAS\CBR\ProcessedFiles\CAR\PLC\LAR_CAR_PLC_AB_CtrLogix_74PLC_9338</v>
      </c>
    </row>
    <row r="15" spans="1:13" s="1" customFormat="1" x14ac:dyDescent="0.25">
      <c r="A15" s="21"/>
      <c r="B15" s="7" t="s">
        <v>584</v>
      </c>
      <c r="C15" s="8" t="s">
        <v>477</v>
      </c>
      <c r="D15" s="19" t="s">
        <v>253</v>
      </c>
      <c r="E15" s="30" t="s">
        <v>31</v>
      </c>
      <c r="F15" s="31" t="s">
        <v>32</v>
      </c>
      <c r="G15" s="31" t="str">
        <f>_xlfn.IFNA(VLOOKUP(F15,'Look Table'!B$1:E$64,3,FALSE),"")</f>
        <v>AB</v>
      </c>
      <c r="H15" s="31" t="str">
        <f>_xlfn.IFNA(VLOOKUP(F15,'Look Table'!B$1:E$64,4,FALSE),"")</f>
        <v>CtrLogix</v>
      </c>
      <c r="I15" s="41" t="s">
        <v>463</v>
      </c>
      <c r="J15" s="31" t="str">
        <f t="shared" si="0"/>
        <v>LAR_CAR</v>
      </c>
      <c r="K15" s="3" t="str">
        <f>J15&amp;"_"&amp;E15&amp;IF(ISNUMBER(SEARCH("PAS",G15)),"","_")&amp;(_xlfn.TEXTJOIN("_",TRUE,IF(G15 &lt;&gt; "PAS",G15:H15,""))&amp;(IF(Table1[[#This Row],[Sub-Area]]&lt;&gt;"",_xlfn.CONCAT("_",Table1[[#This Row],[Sub-Area]]),"")))</f>
        <v>LAR_CAR_PLC_AB_CtrLogix_75_PLC_9354</v>
      </c>
      <c r="L15" s="32" t="str">
        <f>IF(I15 &lt;&gt; "",I15&amp;":\PAS\CBR\ProcessedFiles\"&amp;Table1[[#This Row],[Units]]&amp;"\"&amp;Table1[[#This Row],[Asset Type]]&amp;"\"&amp;K15,"")</f>
        <v>D:\PAS\CBR\ProcessedFiles\CAR\PLC\LAR_CAR_PLC_AB_CtrLogix_75_PLC_9354</v>
      </c>
      <c r="M15" s="33" t="str">
        <f>"MKDIR "&amp;Table1[[#This Row],[Suggested Folder Naming]]</f>
        <v>MKDIR D:\PAS\CBR\ProcessedFiles\CAR\PLC\LAR_CAR_PLC_AB_CtrLogix_75_PLC_9354</v>
      </c>
    </row>
    <row r="16" spans="1:13" s="1" customFormat="1" x14ac:dyDescent="0.25">
      <c r="A16" s="21"/>
      <c r="B16" s="7" t="s">
        <v>584</v>
      </c>
      <c r="C16" s="8" t="s">
        <v>477</v>
      </c>
      <c r="D16" s="19" t="s">
        <v>41</v>
      </c>
      <c r="E16" s="30" t="s">
        <v>31</v>
      </c>
      <c r="F16" s="31" t="s">
        <v>32</v>
      </c>
      <c r="G16" s="31" t="str">
        <f>_xlfn.IFNA(VLOOKUP(F16,'Look Table'!B$1:E$64,3,FALSE),"")</f>
        <v>AB</v>
      </c>
      <c r="H16" s="31" t="str">
        <f>_xlfn.IFNA(VLOOKUP(F16,'Look Table'!B$1:E$64,4,FALSE),"")</f>
        <v>CtrLogix</v>
      </c>
      <c r="I16" s="41" t="s">
        <v>463</v>
      </c>
      <c r="J16" s="31" t="str">
        <f t="shared" si="0"/>
        <v>LAR_CAR</v>
      </c>
      <c r="K16" s="3" t="str">
        <f>J16&amp;"_"&amp;E16&amp;IF(ISNUMBER(SEARCH("PAS",G16)),"","_")&amp;(_xlfn.TEXTJOIN("_",TRUE,IF(G16 &lt;&gt; "PAS",G16:H16,""))&amp;(IF(Table1[[#This Row],[Sub-Area]]&lt;&gt;"",_xlfn.CONCAT("_",Table1[[#This Row],[Sub-Area]]),"")))</f>
        <v>LAR_CAR_PLC_AB_CtrLogix_75PLC_9333</v>
      </c>
      <c r="L16" s="32" t="str">
        <f>IF(I16 &lt;&gt; "",I16&amp;":\PAS\CBR\ProcessedFiles\"&amp;Table1[[#This Row],[Units]]&amp;"\"&amp;Table1[[#This Row],[Asset Type]]&amp;"\"&amp;K16,"")</f>
        <v>D:\PAS\CBR\ProcessedFiles\CAR\PLC\LAR_CAR_PLC_AB_CtrLogix_75PLC_9333</v>
      </c>
      <c r="M16" s="33" t="str">
        <f>"MKDIR "&amp;Table1[[#This Row],[Suggested Folder Naming]]</f>
        <v>MKDIR D:\PAS\CBR\ProcessedFiles\CAR\PLC\LAR_CAR_PLC_AB_CtrLogix_75PLC_9333</v>
      </c>
    </row>
    <row r="17" spans="1:13" s="1" customFormat="1" x14ac:dyDescent="0.25">
      <c r="A17" s="21"/>
      <c r="B17" s="7" t="s">
        <v>584</v>
      </c>
      <c r="C17" s="8" t="s">
        <v>477</v>
      </c>
      <c r="D17" s="19" t="s">
        <v>254</v>
      </c>
      <c r="E17" s="30" t="s">
        <v>31</v>
      </c>
      <c r="F17" s="31" t="s">
        <v>32</v>
      </c>
      <c r="G17" s="31" t="str">
        <f>_xlfn.IFNA(VLOOKUP(F17,'Look Table'!B$1:E$64,3,FALSE),"")</f>
        <v>AB</v>
      </c>
      <c r="H17" s="31" t="str">
        <f>_xlfn.IFNA(VLOOKUP(F17,'Look Table'!B$1:E$64,4,FALSE),"")</f>
        <v>CtrLogix</v>
      </c>
      <c r="I17" s="41" t="s">
        <v>463</v>
      </c>
      <c r="J17" s="31" t="str">
        <f t="shared" si="0"/>
        <v>LAR_CAR</v>
      </c>
      <c r="K17" s="3" t="str">
        <f>J17&amp;"_"&amp;E17&amp;IF(ISNUMBER(SEARCH("PAS",G17)),"","_")&amp;(_xlfn.TEXTJOIN("_",TRUE,IF(G17 &lt;&gt; "PAS",G17:H17,""))&amp;(IF(Table1[[#This Row],[Sub-Area]]&lt;&gt;"",_xlfn.CONCAT("_",Table1[[#This Row],[Sub-Area]]),"")))</f>
        <v>LAR_CAR_PLC_AB_CtrLogix_80PLC_9052</v>
      </c>
      <c r="L17" s="32" t="str">
        <f>IF(I17 &lt;&gt; "",I17&amp;":\PAS\CBR\ProcessedFiles\"&amp;Table1[[#This Row],[Units]]&amp;"\"&amp;Table1[[#This Row],[Asset Type]]&amp;"\"&amp;K17,"")</f>
        <v>D:\PAS\CBR\ProcessedFiles\CAR\PLC\LAR_CAR_PLC_AB_CtrLogix_80PLC_9052</v>
      </c>
      <c r="M17" s="33" t="str">
        <f>"MKDIR "&amp;Table1[[#This Row],[Suggested Folder Naming]]</f>
        <v>MKDIR D:\PAS\CBR\ProcessedFiles\CAR\PLC\LAR_CAR_PLC_AB_CtrLogix_80PLC_9052</v>
      </c>
    </row>
    <row r="18" spans="1:13" s="1" customFormat="1" x14ac:dyDescent="0.25">
      <c r="A18" s="21"/>
      <c r="B18" s="7" t="s">
        <v>584</v>
      </c>
      <c r="C18" s="8" t="s">
        <v>477</v>
      </c>
      <c r="D18" s="19" t="s">
        <v>42</v>
      </c>
      <c r="E18" s="30" t="s">
        <v>31</v>
      </c>
      <c r="F18" s="31" t="s">
        <v>32</v>
      </c>
      <c r="G18" s="31" t="s">
        <v>36</v>
      </c>
      <c r="H18" s="31" t="s">
        <v>37</v>
      </c>
      <c r="I18" s="41" t="s">
        <v>463</v>
      </c>
      <c r="J18" s="31" t="str">
        <f t="shared" si="0"/>
        <v>LAR_CAR</v>
      </c>
      <c r="K18" s="3" t="str">
        <f>J18&amp;"_"&amp;E18&amp;IF(ISNUMBER(SEARCH("PAS",G18)),"","_")&amp;(_xlfn.TEXTJOIN("_",TRUE,IF(G18 &lt;&gt; "PAS",G18:H18,""))&amp;(IF(Table1[[#This Row],[Sub-Area]]&lt;&gt;"",_xlfn.CONCAT("_",Table1[[#This Row],[Sub-Area]]),"")))</f>
        <v>LAR_CAR_PLC_AB_CtrLogix_82PLC_9332</v>
      </c>
      <c r="L18" s="32" t="str">
        <f>IF(I18 &lt;&gt; "",I18&amp;":\PAS\CBR\ProcessedFiles\"&amp;Table1[[#This Row],[Units]]&amp;"\"&amp;Table1[[#This Row],[Asset Type]]&amp;"\"&amp;K18,"")</f>
        <v>D:\PAS\CBR\ProcessedFiles\CAR\PLC\LAR_CAR_PLC_AB_CtrLogix_82PLC_9332</v>
      </c>
      <c r="M18" s="33" t="str">
        <f>"MKDIR "&amp;Table1[[#This Row],[Suggested Folder Naming]]</f>
        <v>MKDIR D:\PAS\CBR\ProcessedFiles\CAR\PLC\LAR_CAR_PLC_AB_CtrLogix_82PLC_9332</v>
      </c>
    </row>
    <row r="19" spans="1:13" s="1" customFormat="1" x14ac:dyDescent="0.25">
      <c r="A19" s="21"/>
      <c r="B19" s="7" t="s">
        <v>584</v>
      </c>
      <c r="C19" s="8" t="s">
        <v>477</v>
      </c>
      <c r="D19" s="19" t="s">
        <v>43</v>
      </c>
      <c r="E19" s="30" t="s">
        <v>31</v>
      </c>
      <c r="F19" s="31" t="s">
        <v>32</v>
      </c>
      <c r="G19" s="31" t="s">
        <v>36</v>
      </c>
      <c r="H19" s="31" t="s">
        <v>37</v>
      </c>
      <c r="I19" s="41" t="s">
        <v>463</v>
      </c>
      <c r="J19" s="31" t="str">
        <f t="shared" si="0"/>
        <v>LAR_CAR</v>
      </c>
      <c r="K19" s="3" t="str">
        <f>J19&amp;"_"&amp;E19&amp;IF(ISNUMBER(SEARCH("PAS",G19)),"","_")&amp;(_xlfn.TEXTJOIN("_",TRUE,IF(G19 &lt;&gt; "PAS",G19:H19,""))&amp;(IF(Table1[[#This Row],[Sub-Area]]&lt;&gt;"",_xlfn.CONCAT("_",Table1[[#This Row],[Sub-Area]]),"")))</f>
        <v>LAR_CAR_PLC_AB_CtrLogix_84PLC_9308</v>
      </c>
      <c r="L19" s="32" t="str">
        <f>IF(I19 &lt;&gt; "",I19&amp;":\PAS\CBR\ProcessedFiles\"&amp;Table1[[#This Row],[Units]]&amp;"\"&amp;Table1[[#This Row],[Asset Type]]&amp;"\"&amp;K19,"")</f>
        <v>D:\PAS\CBR\ProcessedFiles\CAR\PLC\LAR_CAR_PLC_AB_CtrLogix_84PLC_9308</v>
      </c>
      <c r="M19" s="33" t="str">
        <f>"MKDIR "&amp;Table1[[#This Row],[Suggested Folder Naming]]</f>
        <v>MKDIR D:\PAS\CBR\ProcessedFiles\CAR\PLC\LAR_CAR_PLC_AB_CtrLogix_84PLC_9308</v>
      </c>
    </row>
    <row r="20" spans="1:13" s="1" customFormat="1" x14ac:dyDescent="0.25">
      <c r="A20" s="21"/>
      <c r="B20" s="7" t="s">
        <v>584</v>
      </c>
      <c r="C20" s="8" t="s">
        <v>477</v>
      </c>
      <c r="D20" s="19" t="s">
        <v>44</v>
      </c>
      <c r="E20" s="30" t="s">
        <v>31</v>
      </c>
      <c r="F20" s="31" t="s">
        <v>32</v>
      </c>
      <c r="G20" s="31" t="s">
        <v>36</v>
      </c>
      <c r="H20" s="31" t="s">
        <v>37</v>
      </c>
      <c r="I20" s="41" t="s">
        <v>463</v>
      </c>
      <c r="J20" s="31" t="str">
        <f t="shared" si="0"/>
        <v>LAR_CAR</v>
      </c>
      <c r="K20" s="3" t="str">
        <f>J20&amp;"_"&amp;E20&amp;IF(ISNUMBER(SEARCH("PAS",G20)),"","_")&amp;(_xlfn.TEXTJOIN("_",TRUE,IF(G20 &lt;&gt; "PAS",G20:H20,""))&amp;(IF(Table1[[#This Row],[Sub-Area]]&lt;&gt;"",_xlfn.CONCAT("_",Table1[[#This Row],[Sub-Area]]),"")))</f>
        <v>LAR_CAR_PLC_AB_CtrLogix_84PLC_9309</v>
      </c>
      <c r="L20" s="32" t="str">
        <f>IF(I20 &lt;&gt; "",I20&amp;":\PAS\CBR\ProcessedFiles\"&amp;Table1[[#This Row],[Units]]&amp;"\"&amp;Table1[[#This Row],[Asset Type]]&amp;"\"&amp;K20,"")</f>
        <v>D:\PAS\CBR\ProcessedFiles\CAR\PLC\LAR_CAR_PLC_AB_CtrLogix_84PLC_9309</v>
      </c>
      <c r="M20" s="33" t="str">
        <f>"MKDIR "&amp;Table1[[#This Row],[Suggested Folder Naming]]</f>
        <v>MKDIR D:\PAS\CBR\ProcessedFiles\CAR\PLC\LAR_CAR_PLC_AB_CtrLogix_84PLC_9309</v>
      </c>
    </row>
    <row r="21" spans="1:13" s="1" customFormat="1" x14ac:dyDescent="0.25">
      <c r="A21" s="21"/>
      <c r="B21" s="7" t="s">
        <v>584</v>
      </c>
      <c r="C21" s="8" t="s">
        <v>477</v>
      </c>
      <c r="D21" s="19" t="s">
        <v>45</v>
      </c>
      <c r="E21" s="30" t="s">
        <v>31</v>
      </c>
      <c r="F21" s="31" t="s">
        <v>32</v>
      </c>
      <c r="G21" s="31" t="s">
        <v>36</v>
      </c>
      <c r="H21" s="31" t="s">
        <v>37</v>
      </c>
      <c r="I21" s="41" t="s">
        <v>463</v>
      </c>
      <c r="J21" s="31" t="str">
        <f t="shared" si="0"/>
        <v>LAR_CAR</v>
      </c>
      <c r="K21" s="3" t="str">
        <f>J21&amp;"_"&amp;E21&amp;IF(ISNUMBER(SEARCH("PAS",G21)),"","_")&amp;(_xlfn.TEXTJOIN("_",TRUE,IF(G21 &lt;&gt; "PAS",G21:H21,""))&amp;(IF(Table1[[#This Row],[Sub-Area]]&lt;&gt;"",_xlfn.CONCAT("_",Table1[[#This Row],[Sub-Area]]),"")))</f>
        <v>LAR_CAR_PLC_AB_CtrLogix_84PLC_9310</v>
      </c>
      <c r="L21" s="32" t="str">
        <f>IF(I21 &lt;&gt; "",I21&amp;":\PAS\CBR\ProcessedFiles\"&amp;Table1[[#This Row],[Units]]&amp;"\"&amp;Table1[[#This Row],[Asset Type]]&amp;"\"&amp;K21,"")</f>
        <v>D:\PAS\CBR\ProcessedFiles\CAR\PLC\LAR_CAR_PLC_AB_CtrLogix_84PLC_9310</v>
      </c>
      <c r="M21" s="33" t="str">
        <f>"MKDIR "&amp;Table1[[#This Row],[Suggested Folder Naming]]</f>
        <v>MKDIR D:\PAS\CBR\ProcessedFiles\CAR\PLC\LAR_CAR_PLC_AB_CtrLogix_84PLC_9310</v>
      </c>
    </row>
    <row r="22" spans="1:13" s="1" customFormat="1" x14ac:dyDescent="0.25">
      <c r="A22" s="21"/>
      <c r="B22" s="7" t="s">
        <v>584</v>
      </c>
      <c r="C22" s="8" t="s">
        <v>477</v>
      </c>
      <c r="D22" s="19" t="s">
        <v>46</v>
      </c>
      <c r="E22" s="30" t="s">
        <v>31</v>
      </c>
      <c r="F22" s="31" t="s">
        <v>32</v>
      </c>
      <c r="G22" s="31" t="s">
        <v>36</v>
      </c>
      <c r="H22" s="31" t="s">
        <v>37</v>
      </c>
      <c r="I22" s="41" t="s">
        <v>463</v>
      </c>
      <c r="J22" s="31" t="str">
        <f t="shared" si="0"/>
        <v>LAR_CAR</v>
      </c>
      <c r="K22" s="3" t="str">
        <f>J22&amp;"_"&amp;E22&amp;IF(ISNUMBER(SEARCH("PAS",G22)),"","_")&amp;(_xlfn.TEXTJOIN("_",TRUE,IF(G22 &lt;&gt; "PAS",G22:H22,""))&amp;(IF(Table1[[#This Row],[Sub-Area]]&lt;&gt;"",_xlfn.CONCAT("_",Table1[[#This Row],[Sub-Area]]),"")))</f>
        <v>LAR_CAR_PLC_AB_CtrLogix_84PLC_9311</v>
      </c>
      <c r="L22" s="32" t="str">
        <f>IF(I22 &lt;&gt; "",I22&amp;":\PAS\CBR\ProcessedFiles\"&amp;Table1[[#This Row],[Units]]&amp;"\"&amp;Table1[[#This Row],[Asset Type]]&amp;"\"&amp;K22,"")</f>
        <v>D:\PAS\CBR\ProcessedFiles\CAR\PLC\LAR_CAR_PLC_AB_CtrLogix_84PLC_9311</v>
      </c>
      <c r="M22" s="33" t="str">
        <f>"MKDIR "&amp;Table1[[#This Row],[Suggested Folder Naming]]</f>
        <v>MKDIR D:\PAS\CBR\ProcessedFiles\CAR\PLC\LAR_CAR_PLC_AB_CtrLogix_84PLC_9311</v>
      </c>
    </row>
    <row r="23" spans="1:13" s="1" customFormat="1" x14ac:dyDescent="0.25">
      <c r="A23" s="21"/>
      <c r="B23" s="7" t="s">
        <v>584</v>
      </c>
      <c r="C23" s="8" t="s">
        <v>477</v>
      </c>
      <c r="D23" s="19" t="s">
        <v>47</v>
      </c>
      <c r="E23" s="30" t="s">
        <v>31</v>
      </c>
      <c r="F23" s="31" t="s">
        <v>32</v>
      </c>
      <c r="G23" s="31" t="s">
        <v>36</v>
      </c>
      <c r="H23" s="31" t="s">
        <v>37</v>
      </c>
      <c r="I23" s="41" t="s">
        <v>463</v>
      </c>
      <c r="J23" s="31" t="str">
        <f t="shared" si="0"/>
        <v>LAR_CAR</v>
      </c>
      <c r="K23" s="3" t="str">
        <f>J23&amp;"_"&amp;E23&amp;IF(ISNUMBER(SEARCH("PAS",G23)),"","_")&amp;(_xlfn.TEXTJOIN("_",TRUE,IF(G23 &lt;&gt; "PAS",G23:H23,""))&amp;(IF(Table1[[#This Row],[Sub-Area]]&lt;&gt;"",_xlfn.CONCAT("_",Table1[[#This Row],[Sub-Area]]),"")))</f>
        <v>LAR_CAR_PLC_AB_CtrLogix_84PLC_9312</v>
      </c>
      <c r="L23" s="32" t="str">
        <f>IF(I23 &lt;&gt; "",I23&amp;":\PAS\CBR\ProcessedFiles\"&amp;Table1[[#This Row],[Units]]&amp;"\"&amp;Table1[[#This Row],[Asset Type]]&amp;"\"&amp;K23,"")</f>
        <v>D:\PAS\CBR\ProcessedFiles\CAR\PLC\LAR_CAR_PLC_AB_CtrLogix_84PLC_9312</v>
      </c>
      <c r="M23" s="33" t="str">
        <f>"MKDIR "&amp;Table1[[#This Row],[Suggested Folder Naming]]</f>
        <v>MKDIR D:\PAS\CBR\ProcessedFiles\CAR\PLC\LAR_CAR_PLC_AB_CtrLogix_84PLC_9312</v>
      </c>
    </row>
    <row r="24" spans="1:13" s="1" customFormat="1" x14ac:dyDescent="0.25">
      <c r="A24" s="21"/>
      <c r="B24" s="7" t="s">
        <v>584</v>
      </c>
      <c r="C24" s="8" t="s">
        <v>477</v>
      </c>
      <c r="D24" s="19" t="s">
        <v>48</v>
      </c>
      <c r="E24" s="30" t="s">
        <v>31</v>
      </c>
      <c r="F24" s="31" t="s">
        <v>32</v>
      </c>
      <c r="G24" s="31" t="s">
        <v>36</v>
      </c>
      <c r="H24" s="31" t="s">
        <v>37</v>
      </c>
      <c r="I24" s="41" t="s">
        <v>463</v>
      </c>
      <c r="J24" s="31" t="str">
        <f t="shared" si="0"/>
        <v>LAR_CAR</v>
      </c>
      <c r="K24" s="3" t="str">
        <f>J24&amp;"_"&amp;E24&amp;IF(ISNUMBER(SEARCH("PAS",G24)),"","_")&amp;(_xlfn.TEXTJOIN("_",TRUE,IF(G24 &lt;&gt; "PAS",G24:H24,""))&amp;(IF(Table1[[#This Row],[Sub-Area]]&lt;&gt;"",_xlfn.CONCAT("_",Table1[[#This Row],[Sub-Area]]),"")))</f>
        <v>LAR_CAR_PLC_AB_CtrLogix_87PLC_9340</v>
      </c>
      <c r="L24" s="32" t="str">
        <f>IF(I24 &lt;&gt; "",I24&amp;":\PAS\CBR\ProcessedFiles\"&amp;Table1[[#This Row],[Units]]&amp;"\"&amp;Table1[[#This Row],[Asset Type]]&amp;"\"&amp;K24,"")</f>
        <v>D:\PAS\CBR\ProcessedFiles\CAR\PLC\LAR_CAR_PLC_AB_CtrLogix_87PLC_9340</v>
      </c>
      <c r="M24" s="33" t="str">
        <f>"MKDIR "&amp;Table1[[#This Row],[Suggested Folder Naming]]</f>
        <v>MKDIR D:\PAS\CBR\ProcessedFiles\CAR\PLC\LAR_CAR_PLC_AB_CtrLogix_87PLC_9340</v>
      </c>
    </row>
    <row r="25" spans="1:13" s="1" customFormat="1" x14ac:dyDescent="0.25">
      <c r="A25" s="21"/>
      <c r="B25" s="7" t="s">
        <v>584</v>
      </c>
      <c r="C25" s="8" t="s">
        <v>477</v>
      </c>
      <c r="D25" s="19" t="s">
        <v>49</v>
      </c>
      <c r="E25" s="30" t="s">
        <v>31</v>
      </c>
      <c r="F25" s="31" t="s">
        <v>32</v>
      </c>
      <c r="G25" s="31" t="s">
        <v>36</v>
      </c>
      <c r="H25" s="31" t="s">
        <v>37</v>
      </c>
      <c r="I25" s="41" t="s">
        <v>463</v>
      </c>
      <c r="J25" s="31" t="str">
        <f t="shared" si="0"/>
        <v>LAR_CAR</v>
      </c>
      <c r="K25" s="3" t="str">
        <f>J25&amp;"_"&amp;E25&amp;IF(ISNUMBER(SEARCH("PAS",G25)),"","_")&amp;(_xlfn.TEXTJOIN("_",TRUE,IF(G25 &lt;&gt; "PAS",G25:H25,""))&amp;(IF(Table1[[#This Row],[Sub-Area]]&lt;&gt;"",_xlfn.CONCAT("_",Table1[[#This Row],[Sub-Area]]),"")))</f>
        <v>LAR_CAR_PLC_AB_CtrLogix_88PLC_9329</v>
      </c>
      <c r="L25" s="32" t="str">
        <f>IF(I25 &lt;&gt; "",I25&amp;":\PAS\CBR\ProcessedFiles\"&amp;Table1[[#This Row],[Units]]&amp;"\"&amp;Table1[[#This Row],[Asset Type]]&amp;"\"&amp;K25,"")</f>
        <v>D:\PAS\CBR\ProcessedFiles\CAR\PLC\LAR_CAR_PLC_AB_CtrLogix_88PLC_9329</v>
      </c>
      <c r="M25" s="33" t="str">
        <f>"MKDIR "&amp;Table1[[#This Row],[Suggested Folder Naming]]</f>
        <v>MKDIR D:\PAS\CBR\ProcessedFiles\CAR\PLC\LAR_CAR_PLC_AB_CtrLogix_88PLC_9329</v>
      </c>
    </row>
    <row r="26" spans="1:13" s="1" customFormat="1" x14ac:dyDescent="0.25">
      <c r="A26" s="21"/>
      <c r="B26" s="7" t="s">
        <v>584</v>
      </c>
      <c r="C26" s="8" t="s">
        <v>477</v>
      </c>
      <c r="D26" s="19" t="s">
        <v>50</v>
      </c>
      <c r="E26" s="30" t="s">
        <v>31</v>
      </c>
      <c r="F26" s="31" t="s">
        <v>32</v>
      </c>
      <c r="G26" s="31" t="s">
        <v>36</v>
      </c>
      <c r="H26" s="31" t="s">
        <v>37</v>
      </c>
      <c r="I26" s="41" t="s">
        <v>463</v>
      </c>
      <c r="J26" s="31" t="str">
        <f t="shared" si="0"/>
        <v>LAR_CAR</v>
      </c>
      <c r="K26" s="3" t="str">
        <f>J26&amp;"_"&amp;E26&amp;IF(ISNUMBER(SEARCH("PAS",G26)),"","_")&amp;(_xlfn.TEXTJOIN("_",TRUE,IF(G26 &lt;&gt; "PAS",G26:H26,""))&amp;(IF(Table1[[#This Row],[Sub-Area]]&lt;&gt;"",_xlfn.CONCAT("_",Table1[[#This Row],[Sub-Area]]),"")))</f>
        <v>LAR_CAR_PLC_AB_CtrLogix_98PLC_9327</v>
      </c>
      <c r="L26" s="32" t="str">
        <f>IF(I26 &lt;&gt; "",I26&amp;":\PAS\CBR\ProcessedFiles\"&amp;Table1[[#This Row],[Units]]&amp;"\"&amp;Table1[[#This Row],[Asset Type]]&amp;"\"&amp;K26,"")</f>
        <v>D:\PAS\CBR\ProcessedFiles\CAR\PLC\LAR_CAR_PLC_AB_CtrLogix_98PLC_9327</v>
      </c>
      <c r="M26" s="33" t="str">
        <f>"MKDIR "&amp;Table1[[#This Row],[Suggested Folder Naming]]</f>
        <v>MKDIR D:\PAS\CBR\ProcessedFiles\CAR\PLC\LAR_CAR_PLC_AB_CtrLogix_98PLC_9327</v>
      </c>
    </row>
    <row r="27" spans="1:13" s="1" customFormat="1" x14ac:dyDescent="0.25">
      <c r="A27" s="21"/>
      <c r="B27" s="7" t="s">
        <v>584</v>
      </c>
      <c r="C27" s="8" t="s">
        <v>477</v>
      </c>
      <c r="D27" s="19" t="s">
        <v>51</v>
      </c>
      <c r="E27" s="30" t="s">
        <v>31</v>
      </c>
      <c r="F27" s="31" t="s">
        <v>32</v>
      </c>
      <c r="G27" s="31" t="s">
        <v>36</v>
      </c>
      <c r="H27" s="31" t="s">
        <v>37</v>
      </c>
      <c r="I27" s="41" t="s">
        <v>463</v>
      </c>
      <c r="J27" s="31" t="str">
        <f t="shared" si="0"/>
        <v>LAR_CAR</v>
      </c>
      <c r="K27" s="3" t="str">
        <f>J27&amp;"_"&amp;E27&amp;IF(ISNUMBER(SEARCH("PAS",G27)),"","_")&amp;(_xlfn.TEXTJOIN("_",TRUE,IF(G27 &lt;&gt; "PAS",G27:H27,""))&amp;(IF(Table1[[#This Row],[Sub-Area]]&lt;&gt;"",_xlfn.CONCAT("_",Table1[[#This Row],[Sub-Area]]),"")))</f>
        <v>LAR_CAR_PLC_AB_CtrLogix_98PLC_9328</v>
      </c>
      <c r="L27" s="32" t="str">
        <f>IF(I27 &lt;&gt; "",I27&amp;":\PAS\CBR\ProcessedFiles\"&amp;Table1[[#This Row],[Units]]&amp;"\"&amp;Table1[[#This Row],[Asset Type]]&amp;"\"&amp;K27,"")</f>
        <v>D:\PAS\CBR\ProcessedFiles\CAR\PLC\LAR_CAR_PLC_AB_CtrLogix_98PLC_9328</v>
      </c>
      <c r="M27" s="33" t="str">
        <f>"MKDIR "&amp;Table1[[#This Row],[Suggested Folder Naming]]</f>
        <v>MKDIR D:\PAS\CBR\ProcessedFiles\CAR\PLC\LAR_CAR_PLC_AB_CtrLogix_98PLC_9328</v>
      </c>
    </row>
    <row r="28" spans="1:13" s="1" customFormat="1" x14ac:dyDescent="0.25">
      <c r="A28" s="21"/>
      <c r="B28" s="7" t="s">
        <v>584</v>
      </c>
      <c r="C28" s="8" t="s">
        <v>477</v>
      </c>
      <c r="D28" s="19" t="s">
        <v>478</v>
      </c>
      <c r="E28" s="30" t="s">
        <v>31</v>
      </c>
      <c r="F28" s="31" t="s">
        <v>32</v>
      </c>
      <c r="G28" s="31" t="str">
        <f>_xlfn.IFNA(VLOOKUP(F28,'[1]Look Table'!B$1:E$75,3,FALSE),"")</f>
        <v>AB</v>
      </c>
      <c r="H28" s="31" t="str">
        <f>_xlfn.IFNA(VLOOKUP(F28,'[1]Look Table'!B$1:E$75,4,FALSE),"")</f>
        <v>CtrLogix</v>
      </c>
      <c r="I28" s="41" t="s">
        <v>463</v>
      </c>
      <c r="J28" s="31" t="str">
        <f t="shared" si="0"/>
        <v>LAR_CAR</v>
      </c>
      <c r="K28" s="3" t="str">
        <f>J28&amp;"_"&amp;E28&amp;IF(ISNUMBER(SEARCH("PAS",G28)),"","_")&amp;(_xlfn.TEXTJOIN("_",TRUE,IF(G28 &lt;&gt; "PAS",G28:H28,""))&amp;(IF(Table1[[#This Row],[Sub-Area]]&lt;&gt;"",_xlfn.CONCAT("_",Table1[[#This Row],[Sub-Area]]),"")))</f>
        <v>LAR_CAR_PLC_AB_CtrLogix_ANLZ_03PLC_9316</v>
      </c>
      <c r="L28" s="32" t="str">
        <f>IF(I28 &lt;&gt; "",I28&amp;":\PAS\CBR\ProcessedFiles\"&amp;Table1[[#This Row],[Units]]&amp;"\"&amp;Table1[[#This Row],[Asset Type]]&amp;"\"&amp;K28,"")</f>
        <v>D:\PAS\CBR\ProcessedFiles\CAR\PLC\LAR_CAR_PLC_AB_CtrLogix_ANLZ_03PLC_9316</v>
      </c>
      <c r="M28" s="1" t="str">
        <f>"MKDIR "&amp;Table1[[#This Row],[Suggested Folder Naming]]</f>
        <v>MKDIR D:\PAS\CBR\ProcessedFiles\CAR\PLC\LAR_CAR_PLC_AB_CtrLogix_ANLZ_03PLC_9316</v>
      </c>
    </row>
    <row r="29" spans="1:13" s="1" customFormat="1" x14ac:dyDescent="0.25">
      <c r="A29" s="21"/>
      <c r="B29" s="7" t="s">
        <v>584</v>
      </c>
      <c r="C29" s="8" t="s">
        <v>477</v>
      </c>
      <c r="D29" s="19" t="s">
        <v>479</v>
      </c>
      <c r="E29" s="30" t="s">
        <v>31</v>
      </c>
      <c r="F29" s="31" t="s">
        <v>32</v>
      </c>
      <c r="G29" s="31" t="str">
        <f>_xlfn.IFNA(VLOOKUP(F29,'[1]Look Table'!B$1:E$75,3,FALSE),"")</f>
        <v>AB</v>
      </c>
      <c r="H29" s="31" t="str">
        <f>_xlfn.IFNA(VLOOKUP(F29,'[1]Look Table'!B$1:E$75,4,FALSE),"")</f>
        <v>CtrLogix</v>
      </c>
      <c r="I29" s="41" t="s">
        <v>463</v>
      </c>
      <c r="J29" s="31" t="str">
        <f t="shared" si="0"/>
        <v>LAR_CAR</v>
      </c>
      <c r="K29" s="3" t="str">
        <f>J29&amp;"_"&amp;E29&amp;IF(ISNUMBER(SEARCH("PAS",G29)),"","_")&amp;(_xlfn.TEXTJOIN("_",TRUE,IF(G29 &lt;&gt; "PAS",G29:H29,""))&amp;(IF(Table1[[#This Row],[Sub-Area]]&lt;&gt;"",_xlfn.CONCAT("_",Table1[[#This Row],[Sub-Area]]),"")))</f>
        <v>LAR_CAR_PLC_AB_CtrLogix_ANLZ_03PLC_9322</v>
      </c>
      <c r="L29" s="32" t="str">
        <f>IF(I29 &lt;&gt; "",I29&amp;":\PAS\CBR\ProcessedFiles\"&amp;Table1[[#This Row],[Units]]&amp;"\"&amp;Table1[[#This Row],[Asset Type]]&amp;"\"&amp;K29,"")</f>
        <v>D:\PAS\CBR\ProcessedFiles\CAR\PLC\LAR_CAR_PLC_AB_CtrLogix_ANLZ_03PLC_9322</v>
      </c>
      <c r="M29" s="1" t="str">
        <f>"MKDIR "&amp;Table1[[#This Row],[Suggested Folder Naming]]</f>
        <v>MKDIR D:\PAS\CBR\ProcessedFiles\CAR\PLC\LAR_CAR_PLC_AB_CtrLogix_ANLZ_03PLC_9322</v>
      </c>
    </row>
    <row r="30" spans="1:13" s="1" customFormat="1" x14ac:dyDescent="0.25">
      <c r="A30" s="21"/>
      <c r="B30" s="7" t="s">
        <v>584</v>
      </c>
      <c r="C30" s="8" t="s">
        <v>477</v>
      </c>
      <c r="D30" s="19" t="s">
        <v>489</v>
      </c>
      <c r="E30" s="30" t="s">
        <v>31</v>
      </c>
      <c r="F30" s="31" t="s">
        <v>32</v>
      </c>
      <c r="G30" s="31" t="str">
        <f>_xlfn.IFNA(VLOOKUP(F30,'[1]Look Table'!B$1:E$75,3,FALSE),"")</f>
        <v>AB</v>
      </c>
      <c r="H30" s="31" t="str">
        <f>_xlfn.IFNA(VLOOKUP(F30,'[1]Look Table'!B$1:E$75,4,FALSE),"")</f>
        <v>CtrLogix</v>
      </c>
      <c r="I30" s="41" t="s">
        <v>463</v>
      </c>
      <c r="J30" s="31" t="str">
        <f t="shared" si="0"/>
        <v>LAR_CAR</v>
      </c>
      <c r="K30" s="3" t="str">
        <f>J30&amp;"_"&amp;E30&amp;IF(ISNUMBER(SEARCH("PAS",G30)),"","_")&amp;(_xlfn.TEXTJOIN("_",TRUE,IF(G30 &lt;&gt; "PAS",G30:H30,""))&amp;(IF(Table1[[#This Row],[Sub-Area]]&lt;&gt;"",_xlfn.CONCAT("_",Table1[[#This Row],[Sub-Area]]),"")))</f>
        <v>LAR_CAR_PLC_AB_CtrLogix_ANLZ_11PLC_9315</v>
      </c>
      <c r="L30" s="32" t="str">
        <f>IF(I30 &lt;&gt; "",I30&amp;":\PAS\CBR\ProcessedFiles\"&amp;Table1[[#This Row],[Units]]&amp;"\"&amp;Table1[[#This Row],[Asset Type]]&amp;"\"&amp;K30,"")</f>
        <v>D:\PAS\CBR\ProcessedFiles\CAR\PLC\LAR_CAR_PLC_AB_CtrLogix_ANLZ_11PLC_9315</v>
      </c>
      <c r="M30" s="1" t="str">
        <f>"MKDIR "&amp;Table1[[#This Row],[Suggested Folder Naming]]</f>
        <v>MKDIR D:\PAS\CBR\ProcessedFiles\CAR\PLC\LAR_CAR_PLC_AB_CtrLogix_ANLZ_11PLC_9315</v>
      </c>
    </row>
    <row r="31" spans="1:13" s="1" customFormat="1" x14ac:dyDescent="0.25">
      <c r="A31" s="21"/>
      <c r="B31" s="7" t="s">
        <v>584</v>
      </c>
      <c r="C31" s="8" t="s">
        <v>477</v>
      </c>
      <c r="D31" s="19" t="s">
        <v>490</v>
      </c>
      <c r="E31" s="30" t="s">
        <v>31</v>
      </c>
      <c r="F31" s="31" t="s">
        <v>32</v>
      </c>
      <c r="G31" s="31" t="str">
        <f>_xlfn.IFNA(VLOOKUP(F31,'[1]Look Table'!B$1:E$75,3,FALSE),"")</f>
        <v>AB</v>
      </c>
      <c r="H31" s="31" t="str">
        <f>_xlfn.IFNA(VLOOKUP(F31,'[1]Look Table'!B$1:E$75,4,FALSE),"")</f>
        <v>CtrLogix</v>
      </c>
      <c r="I31" s="41" t="s">
        <v>463</v>
      </c>
      <c r="J31" s="31" t="str">
        <f t="shared" si="0"/>
        <v>LAR_CAR</v>
      </c>
      <c r="K31" s="3" t="str">
        <f>J31&amp;"_"&amp;E31&amp;IF(ISNUMBER(SEARCH("PAS",G31)),"","_")&amp;(_xlfn.TEXTJOIN("_",TRUE,IF(G31 &lt;&gt; "PAS",G31:H31,""))&amp;(IF(Table1[[#This Row],[Sub-Area]]&lt;&gt;"",_xlfn.CONCAT("_",Table1[[#This Row],[Sub-Area]]),"")))</f>
        <v>LAR_CAR_PLC_AB_CtrLogix_ANLZ_11PLC_9324</v>
      </c>
      <c r="L31" s="32" t="str">
        <f>IF(I31 &lt;&gt; "",I31&amp;":\PAS\CBR\ProcessedFiles\"&amp;Table1[[#This Row],[Units]]&amp;"\"&amp;Table1[[#This Row],[Asset Type]]&amp;"\"&amp;K31,"")</f>
        <v>D:\PAS\CBR\ProcessedFiles\CAR\PLC\LAR_CAR_PLC_AB_CtrLogix_ANLZ_11PLC_9324</v>
      </c>
      <c r="M31" s="1" t="str">
        <f>"MKDIR "&amp;Table1[[#This Row],[Suggested Folder Naming]]</f>
        <v>MKDIR D:\PAS\CBR\ProcessedFiles\CAR\PLC\LAR_CAR_PLC_AB_CtrLogix_ANLZ_11PLC_9324</v>
      </c>
    </row>
    <row r="32" spans="1:13" s="1" customFormat="1" x14ac:dyDescent="0.25">
      <c r="A32" s="21"/>
      <c r="B32" s="7" t="s">
        <v>584</v>
      </c>
      <c r="C32" s="8" t="s">
        <v>477</v>
      </c>
      <c r="D32" s="19" t="s">
        <v>500</v>
      </c>
      <c r="E32" s="30" t="s">
        <v>31</v>
      </c>
      <c r="F32" s="31" t="s">
        <v>32</v>
      </c>
      <c r="G32" s="31" t="str">
        <f>_xlfn.IFNA(VLOOKUP(F32,'[1]Look Table'!B$1:E$75,3,FALSE),"")</f>
        <v>AB</v>
      </c>
      <c r="H32" s="31" t="str">
        <f>_xlfn.IFNA(VLOOKUP(F32,'[1]Look Table'!B$1:E$75,4,FALSE),"")</f>
        <v>CtrLogix</v>
      </c>
      <c r="I32" s="41" t="s">
        <v>463</v>
      </c>
      <c r="J32" s="31" t="str">
        <f t="shared" si="0"/>
        <v>LAR_CAR</v>
      </c>
      <c r="K32" s="3" t="str">
        <f>J32&amp;"_"&amp;E32&amp;IF(ISNUMBER(SEARCH("PAS",G32)),"","_")&amp;(_xlfn.TEXTJOIN("_",TRUE,IF(G32 &lt;&gt; "PAS",G32:H32,""))&amp;(IF(Table1[[#This Row],[Sub-Area]]&lt;&gt;"",_xlfn.CONCAT("_",Table1[[#This Row],[Sub-Area]]),"")))</f>
        <v>LAR_CAR_PLC_AB_CtrLogix_ANLZ_23PLC_9317</v>
      </c>
      <c r="L32" s="32" t="str">
        <f>IF(I32 &lt;&gt; "",I32&amp;":\PAS\CBR\ProcessedFiles\"&amp;Table1[[#This Row],[Units]]&amp;"\"&amp;Table1[[#This Row],[Asset Type]]&amp;"\"&amp;K32,"")</f>
        <v>D:\PAS\CBR\ProcessedFiles\CAR\PLC\LAR_CAR_PLC_AB_CtrLogix_ANLZ_23PLC_9317</v>
      </c>
      <c r="M32" s="1" t="str">
        <f>"MKDIR "&amp;Table1[[#This Row],[Suggested Folder Naming]]</f>
        <v>MKDIR D:\PAS\CBR\ProcessedFiles\CAR\PLC\LAR_CAR_PLC_AB_CtrLogix_ANLZ_23PLC_9317</v>
      </c>
    </row>
    <row r="33" spans="1:13" s="1" customFormat="1" x14ac:dyDescent="0.25">
      <c r="A33" s="21"/>
      <c r="B33" s="7" t="s">
        <v>584</v>
      </c>
      <c r="C33" s="8" t="s">
        <v>477</v>
      </c>
      <c r="D33" s="19" t="s">
        <v>501</v>
      </c>
      <c r="E33" s="30" t="s">
        <v>31</v>
      </c>
      <c r="F33" s="31" t="s">
        <v>32</v>
      </c>
      <c r="G33" s="31" t="str">
        <f>_xlfn.IFNA(VLOOKUP(F33,'[1]Look Table'!B$1:E$75,3,FALSE),"")</f>
        <v>AB</v>
      </c>
      <c r="H33" s="31" t="str">
        <f>_xlfn.IFNA(VLOOKUP(F33,'[1]Look Table'!B$1:E$75,4,FALSE),"")</f>
        <v>CtrLogix</v>
      </c>
      <c r="I33" s="41" t="s">
        <v>463</v>
      </c>
      <c r="J33" s="31" t="str">
        <f t="shared" si="0"/>
        <v>LAR_CAR</v>
      </c>
      <c r="K33" s="3" t="str">
        <f>J33&amp;"_"&amp;E33&amp;IF(ISNUMBER(SEARCH("PAS",G33)),"","_")&amp;(_xlfn.TEXTJOIN("_",TRUE,IF(G33 &lt;&gt; "PAS",G33:H33,""))&amp;(IF(Table1[[#This Row],[Sub-Area]]&lt;&gt;"",_xlfn.CONCAT("_",Table1[[#This Row],[Sub-Area]]),"")))</f>
        <v>LAR_CAR_PLC_AB_CtrLogix_ANLZ_23PLC_9323</v>
      </c>
      <c r="L33" s="32" t="str">
        <f>IF(I33 &lt;&gt; "",I33&amp;":\PAS\CBR\ProcessedFiles\"&amp;Table1[[#This Row],[Units]]&amp;"\"&amp;Table1[[#This Row],[Asset Type]]&amp;"\"&amp;K33,"")</f>
        <v>D:\PAS\CBR\ProcessedFiles\CAR\PLC\LAR_CAR_PLC_AB_CtrLogix_ANLZ_23PLC_9323</v>
      </c>
      <c r="M33" s="1" t="str">
        <f>"MKDIR "&amp;Table1[[#This Row],[Suggested Folder Naming]]</f>
        <v>MKDIR D:\PAS\CBR\ProcessedFiles\CAR\PLC\LAR_CAR_PLC_AB_CtrLogix_ANLZ_23PLC_9323</v>
      </c>
    </row>
    <row r="34" spans="1:13" s="1" customFormat="1" x14ac:dyDescent="0.25">
      <c r="A34" s="21"/>
      <c r="B34" s="7" t="s">
        <v>584</v>
      </c>
      <c r="C34" s="8" t="s">
        <v>477</v>
      </c>
      <c r="D34" s="19" t="s">
        <v>515</v>
      </c>
      <c r="E34" s="30" t="s">
        <v>31</v>
      </c>
      <c r="F34" s="31" t="s">
        <v>32</v>
      </c>
      <c r="G34" s="31" t="str">
        <f>_xlfn.IFNA(VLOOKUP(F34,'[1]Look Table'!B$1:E$75,3,FALSE),"")</f>
        <v>AB</v>
      </c>
      <c r="H34" s="31" t="str">
        <f>_xlfn.IFNA(VLOOKUP(F34,'[1]Look Table'!B$1:E$75,4,FALSE),"")</f>
        <v>CtrLogix</v>
      </c>
      <c r="I34" s="41" t="s">
        <v>463</v>
      </c>
      <c r="J34" s="31" t="str">
        <f t="shared" si="0"/>
        <v>LAR_CAR</v>
      </c>
      <c r="K34" s="3" t="str">
        <f>J34&amp;"_"&amp;E34&amp;IF(ISNUMBER(SEARCH("PAS",G34)),"","_")&amp;(_xlfn.TEXTJOIN("_",TRUE,IF(G34 &lt;&gt; "PAS",G34:H34,""))&amp;(IF(Table1[[#This Row],[Sub-Area]]&lt;&gt;"",_xlfn.CONCAT("_",Table1[[#This Row],[Sub-Area]]),"")))</f>
        <v>LAR_CAR_PLC_AB_CtrLogix_ANLZ_70PLC_9313</v>
      </c>
      <c r="L34" s="32" t="str">
        <f>IF(I34 &lt;&gt; "",I34&amp;":\PAS\CBR\ProcessedFiles\"&amp;Table1[[#This Row],[Units]]&amp;"\"&amp;Table1[[#This Row],[Asset Type]]&amp;"\"&amp;K34,"")</f>
        <v>D:\PAS\CBR\ProcessedFiles\CAR\PLC\LAR_CAR_PLC_AB_CtrLogix_ANLZ_70PLC_9313</v>
      </c>
      <c r="M34" s="1" t="str">
        <f>"MKDIR "&amp;Table1[[#This Row],[Suggested Folder Naming]]</f>
        <v>MKDIR D:\PAS\CBR\ProcessedFiles\CAR\PLC\LAR_CAR_PLC_AB_CtrLogix_ANLZ_70PLC_9313</v>
      </c>
    </row>
    <row r="35" spans="1:13" s="1" customFormat="1" x14ac:dyDescent="0.25">
      <c r="A35" s="21"/>
      <c r="B35" s="7" t="s">
        <v>584</v>
      </c>
      <c r="C35" s="8" t="s">
        <v>477</v>
      </c>
      <c r="D35" s="19" t="s">
        <v>518</v>
      </c>
      <c r="E35" s="30" t="s">
        <v>31</v>
      </c>
      <c r="F35" s="31" t="s">
        <v>32</v>
      </c>
      <c r="G35" s="31" t="str">
        <f>_xlfn.IFNA(VLOOKUP(F35,'[1]Look Table'!B$1:E$75,3,FALSE),"")</f>
        <v>AB</v>
      </c>
      <c r="H35" s="31" t="str">
        <f>_xlfn.IFNA(VLOOKUP(F35,'[1]Look Table'!B$1:E$75,4,FALSE),"")</f>
        <v>CtrLogix</v>
      </c>
      <c r="I35" s="41" t="s">
        <v>463</v>
      </c>
      <c r="J35" s="31" t="str">
        <f t="shared" si="0"/>
        <v>LAR_CAR</v>
      </c>
      <c r="K35" s="3" t="str">
        <f>J35&amp;"_"&amp;E35&amp;IF(ISNUMBER(SEARCH("PAS",G35)),"","_")&amp;(_xlfn.TEXTJOIN("_",TRUE,IF(G35 &lt;&gt; "PAS",G35:H35,""))&amp;(IF(Table1[[#This Row],[Sub-Area]]&lt;&gt;"",_xlfn.CONCAT("_",Table1[[#This Row],[Sub-Area]]),"")))</f>
        <v>LAR_CAR_PLC_AB_CtrLogix_ANLZ_73PLC_9307</v>
      </c>
      <c r="L35" s="32" t="str">
        <f>IF(I35 &lt;&gt; "",I35&amp;":\PAS\CBR\ProcessedFiles\"&amp;Table1[[#This Row],[Units]]&amp;"\"&amp;Table1[[#This Row],[Asset Type]]&amp;"\"&amp;K35,"")</f>
        <v>D:\PAS\CBR\ProcessedFiles\CAR\PLC\LAR_CAR_PLC_AB_CtrLogix_ANLZ_73PLC_9307</v>
      </c>
      <c r="M35" s="1" t="str">
        <f>"MKDIR "&amp;Table1[[#This Row],[Suggested Folder Naming]]</f>
        <v>MKDIR D:\PAS\CBR\ProcessedFiles\CAR\PLC\LAR_CAR_PLC_AB_CtrLogix_ANLZ_73PLC_9307</v>
      </c>
    </row>
    <row r="36" spans="1:13" s="1" customFormat="1" x14ac:dyDescent="0.25">
      <c r="A36" s="21"/>
      <c r="B36" s="7" t="s">
        <v>584</v>
      </c>
      <c r="C36" s="8" t="s">
        <v>477</v>
      </c>
      <c r="D36" s="19" t="s">
        <v>527</v>
      </c>
      <c r="E36" s="30" t="s">
        <v>31</v>
      </c>
      <c r="F36" s="31" t="s">
        <v>32</v>
      </c>
      <c r="G36" s="31" t="str">
        <f>_xlfn.IFNA(VLOOKUP(F36,'[1]Look Table'!B$1:E$75,3,FALSE),"")</f>
        <v>AB</v>
      </c>
      <c r="H36" s="31" t="str">
        <f>_xlfn.IFNA(VLOOKUP(F36,'[1]Look Table'!B$1:E$75,4,FALSE),"")</f>
        <v>CtrLogix</v>
      </c>
      <c r="I36" s="41" t="s">
        <v>463</v>
      </c>
      <c r="J36" s="31" t="str">
        <f t="shared" si="0"/>
        <v>LAR_CAR</v>
      </c>
      <c r="K36" s="3" t="str">
        <f>J36&amp;"_"&amp;E36&amp;IF(ISNUMBER(SEARCH("PAS",G36)),"","_")&amp;(_xlfn.TEXTJOIN("_",TRUE,IF(G36 &lt;&gt; "PAS",G36:H36,""))&amp;(IF(Table1[[#This Row],[Sub-Area]]&lt;&gt;"",_xlfn.CONCAT("_",Table1[[#This Row],[Sub-Area]]),"")))</f>
        <v>LAR_CAR_PLC_AB_CtrLogix_ANLZ_80PLC_9314</v>
      </c>
      <c r="L36" s="32" t="str">
        <f>IF(I36 &lt;&gt; "",I36&amp;":\PAS\CBR\ProcessedFiles\"&amp;Table1[[#This Row],[Units]]&amp;"\"&amp;Table1[[#This Row],[Asset Type]]&amp;"\"&amp;K36,"")</f>
        <v>D:\PAS\CBR\ProcessedFiles\CAR\PLC\LAR_CAR_PLC_AB_CtrLogix_ANLZ_80PLC_9314</v>
      </c>
      <c r="M36" s="1" t="str">
        <f>"MKDIR "&amp;Table1[[#This Row],[Suggested Folder Naming]]</f>
        <v>MKDIR D:\PAS\CBR\ProcessedFiles\CAR\PLC\LAR_CAR_PLC_AB_CtrLogix_ANLZ_80PLC_9314</v>
      </c>
    </row>
    <row r="37" spans="1:13" s="1" customFormat="1" x14ac:dyDescent="0.25">
      <c r="A37" s="21"/>
      <c r="B37" s="7" t="s">
        <v>584</v>
      </c>
      <c r="C37" s="8" t="s">
        <v>477</v>
      </c>
      <c r="D37" s="19" t="s">
        <v>528</v>
      </c>
      <c r="E37" s="30" t="s">
        <v>31</v>
      </c>
      <c r="F37" s="31" t="s">
        <v>32</v>
      </c>
      <c r="G37" s="31" t="str">
        <f>_xlfn.IFNA(VLOOKUP(F37,'[1]Look Table'!B$1:E$75,3,FALSE),"")</f>
        <v>AB</v>
      </c>
      <c r="H37" s="31" t="str">
        <f>_xlfn.IFNA(VLOOKUP(F37,'[1]Look Table'!B$1:E$75,4,FALSE),"")</f>
        <v>CtrLogix</v>
      </c>
      <c r="I37" s="41" t="s">
        <v>463</v>
      </c>
      <c r="J37" s="31" t="str">
        <f t="shared" si="0"/>
        <v>LAR_CAR</v>
      </c>
      <c r="K37" s="3" t="str">
        <f>J37&amp;"_"&amp;E37&amp;IF(ISNUMBER(SEARCH("PAS",G37)),"","_")&amp;(_xlfn.TEXTJOIN("_",TRUE,IF(G37 &lt;&gt; "PAS",G37:H37,""))&amp;(IF(Table1[[#This Row],[Sub-Area]]&lt;&gt;"",_xlfn.CONCAT("_",Table1[[#This Row],[Sub-Area]]),"")))</f>
        <v>LAR_CAR_PLC_AB_CtrLogix_ANLZ_80PLC_9321</v>
      </c>
      <c r="L37" s="32" t="str">
        <f>IF(I37 &lt;&gt; "",I37&amp;":\PAS\CBR\ProcessedFiles\"&amp;Table1[[#This Row],[Units]]&amp;"\"&amp;Table1[[#This Row],[Asset Type]]&amp;"\"&amp;K37,"")</f>
        <v>D:\PAS\CBR\ProcessedFiles\CAR\PLC\LAR_CAR_PLC_AB_CtrLogix_ANLZ_80PLC_9321</v>
      </c>
      <c r="M37" s="1" t="str">
        <f>"MKDIR "&amp;Table1[[#This Row],[Suggested Folder Naming]]</f>
        <v>MKDIR D:\PAS\CBR\ProcessedFiles\CAR\PLC\LAR_CAR_PLC_AB_CtrLogix_ANLZ_80PLC_9321</v>
      </c>
    </row>
    <row r="38" spans="1:13" s="1" customFormat="1" x14ac:dyDescent="0.25">
      <c r="A38" s="21"/>
      <c r="B38" s="7" t="s">
        <v>584</v>
      </c>
      <c r="C38" s="8" t="s">
        <v>477</v>
      </c>
      <c r="D38" s="19" t="s">
        <v>531</v>
      </c>
      <c r="E38" s="30" t="s">
        <v>31</v>
      </c>
      <c r="F38" s="31" t="s">
        <v>32</v>
      </c>
      <c r="G38" s="31" t="str">
        <f>_xlfn.IFNA(VLOOKUP(F38,'[1]Look Table'!B$1:E$75,3,FALSE),"")</f>
        <v>AB</v>
      </c>
      <c r="H38" s="31" t="str">
        <f>_xlfn.IFNA(VLOOKUP(F38,'[1]Look Table'!B$1:E$75,4,FALSE),"")</f>
        <v>CtrLogix</v>
      </c>
      <c r="I38" s="41" t="s">
        <v>463</v>
      </c>
      <c r="J38" s="31" t="str">
        <f t="shared" si="0"/>
        <v>LAR_CAR</v>
      </c>
      <c r="K38" s="3" t="str">
        <f>J38&amp;"_"&amp;E38&amp;IF(ISNUMBER(SEARCH("PAS",G38)),"","_")&amp;(_xlfn.TEXTJOIN("_",TRUE,IF(G38 &lt;&gt; "PAS",G38:H38,""))&amp;(IF(Table1[[#This Row],[Sub-Area]]&lt;&gt;"",_xlfn.CONCAT("_",Table1[[#This Row],[Sub-Area]]),"")))</f>
        <v>LAR_CAR_PLC_AB_CtrLogix_ANLZ_84PLC_9319</v>
      </c>
      <c r="L38" s="32" t="str">
        <f>IF(I38 &lt;&gt; "",I38&amp;":\PAS\CBR\ProcessedFiles\"&amp;Table1[[#This Row],[Units]]&amp;"\"&amp;Table1[[#This Row],[Asset Type]]&amp;"\"&amp;K38,"")</f>
        <v>D:\PAS\CBR\ProcessedFiles\CAR\PLC\LAR_CAR_PLC_AB_CtrLogix_ANLZ_84PLC_9319</v>
      </c>
      <c r="M38" s="1" t="str">
        <f>"MKDIR "&amp;Table1[[#This Row],[Suggested Folder Naming]]</f>
        <v>MKDIR D:\PAS\CBR\ProcessedFiles\CAR\PLC\LAR_CAR_PLC_AB_CtrLogix_ANLZ_84PLC_9319</v>
      </c>
    </row>
    <row r="39" spans="1:13" s="1" customFormat="1" x14ac:dyDescent="0.25">
      <c r="A39" s="21"/>
      <c r="B39" s="7" t="s">
        <v>584</v>
      </c>
      <c r="C39" s="8" t="s">
        <v>480</v>
      </c>
      <c r="D39" s="19" t="s">
        <v>481</v>
      </c>
      <c r="E39" s="30" t="s">
        <v>31</v>
      </c>
      <c r="F39" s="31" t="s">
        <v>32</v>
      </c>
      <c r="G39" s="31" t="str">
        <f>_xlfn.IFNA(VLOOKUP(F39,'[1]Look Table'!B$1:E$75,3,FALSE),"")</f>
        <v>AB</v>
      </c>
      <c r="H39" s="31" t="str">
        <f>_xlfn.IFNA(VLOOKUP(F39,'[1]Look Table'!B$1:E$75,4,FALSE),"")</f>
        <v>CtrLogix</v>
      </c>
      <c r="I39" s="41" t="s">
        <v>463</v>
      </c>
      <c r="J39" s="31" t="str">
        <f t="shared" si="0"/>
        <v>LAR_WCC</v>
      </c>
      <c r="K39" s="3" t="str">
        <f>J39&amp;"_"&amp;E39&amp;IF(ISNUMBER(SEARCH("PAS",G39)),"","_")&amp;(_xlfn.TEXTJOIN("_",TRUE,IF(G39 &lt;&gt; "PAS",G39:H39,""))&amp;(IF(Table1[[#This Row],[Sub-Area]]&lt;&gt;"",_xlfn.CONCAT("_",Table1[[#This Row],[Sub-Area]]),"")))</f>
        <v>LAR_WCC_PLC_AB_CtrLogix_ANLZ_03PLC_9336</v>
      </c>
      <c r="L39" s="32" t="str">
        <f>IF(I39 &lt;&gt; "",I39&amp;":\PAS\CBR\ProcessedFiles\"&amp;Table1[[#This Row],[Units]]&amp;"\"&amp;Table1[[#This Row],[Asset Type]]&amp;"\"&amp;K39,"")</f>
        <v>D:\PAS\CBR\ProcessedFiles\WCC\PLC\LAR_WCC_PLC_AB_CtrLogix_ANLZ_03PLC_9336</v>
      </c>
      <c r="M39" s="1" t="str">
        <f>"MKDIR "&amp;Table1[[#This Row],[Suggested Folder Naming]]</f>
        <v>MKDIR D:\PAS\CBR\ProcessedFiles\WCC\PLC\LAR_WCC_PLC_AB_CtrLogix_ANLZ_03PLC_9336</v>
      </c>
    </row>
    <row r="40" spans="1:13" s="1" customFormat="1" x14ac:dyDescent="0.25">
      <c r="A40" s="21"/>
      <c r="B40" s="7" t="s">
        <v>584</v>
      </c>
      <c r="C40" s="8" t="s">
        <v>480</v>
      </c>
      <c r="D40" s="19" t="s">
        <v>482</v>
      </c>
      <c r="E40" s="30" t="s">
        <v>31</v>
      </c>
      <c r="F40" s="31" t="s">
        <v>32</v>
      </c>
      <c r="G40" s="31" t="str">
        <f>_xlfn.IFNA(VLOOKUP(F40,'[1]Look Table'!B$1:E$75,3,FALSE),"")</f>
        <v>AB</v>
      </c>
      <c r="H40" s="31" t="str">
        <f>_xlfn.IFNA(VLOOKUP(F40,'[1]Look Table'!B$1:E$75,4,FALSE),"")</f>
        <v>CtrLogix</v>
      </c>
      <c r="I40" s="41" t="s">
        <v>463</v>
      </c>
      <c r="J40" s="31" t="str">
        <f t="shared" si="0"/>
        <v>LAR_WCC</v>
      </c>
      <c r="K40" s="3" t="str">
        <f>J40&amp;"_"&amp;E40&amp;IF(ISNUMBER(SEARCH("PAS",G40)),"","_")&amp;(_xlfn.TEXTJOIN("_",TRUE,IF(G40 &lt;&gt; "PAS",G40:H40,""))&amp;(IF(Table1[[#This Row],[Sub-Area]]&lt;&gt;"",_xlfn.CONCAT("_",Table1[[#This Row],[Sub-Area]]),"")))</f>
        <v>LAR_WCC_PLC_AB_CtrLogix_ANLZ_05PLC_9342</v>
      </c>
      <c r="L40" s="32" t="str">
        <f>IF(I40 &lt;&gt; "",I40&amp;":\PAS\CBR\ProcessedFiles\"&amp;Table1[[#This Row],[Units]]&amp;"\"&amp;Table1[[#This Row],[Asset Type]]&amp;"\"&amp;K40,"")</f>
        <v>D:\PAS\CBR\ProcessedFiles\WCC\PLC\LAR_WCC_PLC_AB_CtrLogix_ANLZ_05PLC_9342</v>
      </c>
      <c r="M40" s="1" t="str">
        <f>"MKDIR "&amp;Table1[[#This Row],[Suggested Folder Naming]]</f>
        <v>MKDIR D:\PAS\CBR\ProcessedFiles\WCC\PLC\LAR_WCC_PLC_AB_CtrLogix_ANLZ_05PLC_9342</v>
      </c>
    </row>
    <row r="41" spans="1:13" s="1" customFormat="1" x14ac:dyDescent="0.25">
      <c r="A41" s="21"/>
      <c r="B41" s="7" t="s">
        <v>584</v>
      </c>
      <c r="C41" s="8" t="s">
        <v>480</v>
      </c>
      <c r="D41" s="19" t="s">
        <v>483</v>
      </c>
      <c r="E41" s="30" t="s">
        <v>31</v>
      </c>
      <c r="F41" s="31" t="s">
        <v>32</v>
      </c>
      <c r="G41" s="31" t="str">
        <f>_xlfn.IFNA(VLOOKUP(F41,'[1]Look Table'!B$1:E$75,3,FALSE),"")</f>
        <v>AB</v>
      </c>
      <c r="H41" s="31" t="str">
        <f>_xlfn.IFNA(VLOOKUP(F41,'[1]Look Table'!B$1:E$75,4,FALSE),"")</f>
        <v>CtrLogix</v>
      </c>
      <c r="I41" s="41" t="s">
        <v>463</v>
      </c>
      <c r="J41" s="31" t="str">
        <f t="shared" si="0"/>
        <v>LAR_WCC</v>
      </c>
      <c r="K41" s="3" t="str">
        <f>J41&amp;"_"&amp;E41&amp;IF(ISNUMBER(SEARCH("PAS",G41)),"","_")&amp;(_xlfn.TEXTJOIN("_",TRUE,IF(G41 &lt;&gt; "PAS",G41:H41,""))&amp;(IF(Table1[[#This Row],[Sub-Area]]&lt;&gt;"",_xlfn.CONCAT("_",Table1[[#This Row],[Sub-Area]]),"")))</f>
        <v>LAR_WCC_PLC_AB_CtrLogix_ANLZ_05PLC_9343</v>
      </c>
      <c r="L41" s="32" t="str">
        <f>IF(I41 &lt;&gt; "",I41&amp;":\PAS\CBR\ProcessedFiles\"&amp;Table1[[#This Row],[Units]]&amp;"\"&amp;Table1[[#This Row],[Asset Type]]&amp;"\"&amp;K41,"")</f>
        <v>D:\PAS\CBR\ProcessedFiles\WCC\PLC\LAR_WCC_PLC_AB_CtrLogix_ANLZ_05PLC_9343</v>
      </c>
      <c r="M41" s="1" t="str">
        <f>"MKDIR "&amp;Table1[[#This Row],[Suggested Folder Naming]]</f>
        <v>MKDIR D:\PAS\CBR\ProcessedFiles\WCC\PLC\LAR_WCC_PLC_AB_CtrLogix_ANLZ_05PLC_9343</v>
      </c>
    </row>
    <row r="42" spans="1:13" s="1" customFormat="1" x14ac:dyDescent="0.25">
      <c r="A42" s="21"/>
      <c r="B42" s="7" t="s">
        <v>584</v>
      </c>
      <c r="C42" s="8" t="s">
        <v>480</v>
      </c>
      <c r="D42" s="19" t="s">
        <v>484</v>
      </c>
      <c r="E42" s="30" t="s">
        <v>31</v>
      </c>
      <c r="F42" s="31" t="s">
        <v>32</v>
      </c>
      <c r="G42" s="31" t="str">
        <f>_xlfn.IFNA(VLOOKUP(F42,'[1]Look Table'!B$1:E$75,3,FALSE),"")</f>
        <v>AB</v>
      </c>
      <c r="H42" s="31" t="str">
        <f>_xlfn.IFNA(VLOOKUP(F42,'[1]Look Table'!B$1:E$75,4,FALSE),"")</f>
        <v>CtrLogix</v>
      </c>
      <c r="I42" s="41" t="s">
        <v>463</v>
      </c>
      <c r="J42" s="31" t="str">
        <f t="shared" si="0"/>
        <v>LAR_WCC</v>
      </c>
      <c r="K42" s="3" t="str">
        <f>J42&amp;"_"&amp;E42&amp;IF(ISNUMBER(SEARCH("PAS",G42)),"","_")&amp;(_xlfn.TEXTJOIN("_",TRUE,IF(G42 &lt;&gt; "PAS",G42:H42,""))&amp;(IF(Table1[[#This Row],[Sub-Area]]&lt;&gt;"",_xlfn.CONCAT("_",Table1[[#This Row],[Sub-Area]]),"")))</f>
        <v>LAR_WCC_PLC_AB_CtrLogix_ANLZ_05PLC_9344</v>
      </c>
      <c r="L42" s="32" t="str">
        <f>IF(I42 &lt;&gt; "",I42&amp;":\PAS\CBR\ProcessedFiles\"&amp;Table1[[#This Row],[Units]]&amp;"\"&amp;Table1[[#This Row],[Asset Type]]&amp;"\"&amp;K42,"")</f>
        <v>D:\PAS\CBR\ProcessedFiles\WCC\PLC\LAR_WCC_PLC_AB_CtrLogix_ANLZ_05PLC_9344</v>
      </c>
      <c r="M42" s="1" t="str">
        <f>"MKDIR "&amp;Table1[[#This Row],[Suggested Folder Naming]]</f>
        <v>MKDIR D:\PAS\CBR\ProcessedFiles\WCC\PLC\LAR_WCC_PLC_AB_CtrLogix_ANLZ_05PLC_9344</v>
      </c>
    </row>
    <row r="43" spans="1:13" s="1" customFormat="1" x14ac:dyDescent="0.25">
      <c r="A43" s="21"/>
      <c r="B43" s="7" t="s">
        <v>584</v>
      </c>
      <c r="C43" s="8" t="s">
        <v>480</v>
      </c>
      <c r="D43" s="19" t="s">
        <v>491</v>
      </c>
      <c r="E43" s="30" t="s">
        <v>31</v>
      </c>
      <c r="F43" s="31" t="s">
        <v>32</v>
      </c>
      <c r="G43" s="31" t="str">
        <f>_xlfn.IFNA(VLOOKUP(F43,'[1]Look Table'!B$1:E$75,3,FALSE),"")</f>
        <v>AB</v>
      </c>
      <c r="H43" s="31" t="str">
        <f>_xlfn.IFNA(VLOOKUP(F43,'[1]Look Table'!B$1:E$75,4,FALSE),"")</f>
        <v>CtrLogix</v>
      </c>
      <c r="I43" s="41" t="s">
        <v>463</v>
      </c>
      <c r="J43" s="31" t="str">
        <f t="shared" si="0"/>
        <v>LAR_WCC</v>
      </c>
      <c r="K43" s="3" t="str">
        <f>J43&amp;"_"&amp;E43&amp;IF(ISNUMBER(SEARCH("PAS",G43)),"","_")&amp;(_xlfn.TEXTJOIN("_",TRUE,IF(G43 &lt;&gt; "PAS",G43:H43,""))&amp;(IF(Table1[[#This Row],[Sub-Area]]&lt;&gt;"",_xlfn.CONCAT("_",Table1[[#This Row],[Sub-Area]]),"")))</f>
        <v>LAR_WCC_PLC_AB_CtrLogix_ANLZ_11PLC_9334</v>
      </c>
      <c r="L43" s="32" t="str">
        <f>IF(I43 &lt;&gt; "",I43&amp;":\PAS\CBR\ProcessedFiles\"&amp;Table1[[#This Row],[Units]]&amp;"\"&amp;Table1[[#This Row],[Asset Type]]&amp;"\"&amp;K43,"")</f>
        <v>D:\PAS\CBR\ProcessedFiles\WCC\PLC\LAR_WCC_PLC_AB_CtrLogix_ANLZ_11PLC_9334</v>
      </c>
      <c r="M43" s="1" t="str">
        <f>"MKDIR "&amp;Table1[[#This Row],[Suggested Folder Naming]]</f>
        <v>MKDIR D:\PAS\CBR\ProcessedFiles\WCC\PLC\LAR_WCC_PLC_AB_CtrLogix_ANLZ_11PLC_9334</v>
      </c>
    </row>
    <row r="44" spans="1:13" s="1" customFormat="1" x14ac:dyDescent="0.25">
      <c r="A44" s="21"/>
      <c r="B44" s="7" t="s">
        <v>584</v>
      </c>
      <c r="C44" s="8" t="s">
        <v>480</v>
      </c>
      <c r="D44" s="19" t="s">
        <v>507</v>
      </c>
      <c r="E44" s="30" t="s">
        <v>31</v>
      </c>
      <c r="F44" s="31" t="s">
        <v>32</v>
      </c>
      <c r="G44" s="31" t="str">
        <f>_xlfn.IFNA(VLOOKUP(F44,'[1]Look Table'!B$1:E$75,3,FALSE),"")</f>
        <v>AB</v>
      </c>
      <c r="H44" s="31" t="str">
        <f>_xlfn.IFNA(VLOOKUP(F44,'[1]Look Table'!B$1:E$75,4,FALSE),"")</f>
        <v>CtrLogix</v>
      </c>
      <c r="I44" s="41" t="s">
        <v>463</v>
      </c>
      <c r="J44" s="31" t="str">
        <f t="shared" si="0"/>
        <v>LAR_WCC</v>
      </c>
      <c r="K44" s="3" t="str">
        <f>J44&amp;"_"&amp;E44&amp;IF(ISNUMBER(SEARCH("PAS",G44)),"","_")&amp;(_xlfn.TEXTJOIN("_",TRUE,IF(G44 &lt;&gt; "PAS",G44:H44,""))&amp;(IF(Table1[[#This Row],[Sub-Area]]&lt;&gt;"",_xlfn.CONCAT("_",Table1[[#This Row],[Sub-Area]]),"")))</f>
        <v>LAR_WCC_PLC_AB_CtrLogix_ANLZ_34PLC_9349</v>
      </c>
      <c r="L44" s="32" t="str">
        <f>IF(I44 &lt;&gt; "",I44&amp;":\PAS\CBR\ProcessedFiles\"&amp;Table1[[#This Row],[Units]]&amp;"\"&amp;Table1[[#This Row],[Asset Type]]&amp;"\"&amp;K44,"")</f>
        <v>D:\PAS\CBR\ProcessedFiles\WCC\PLC\LAR_WCC_PLC_AB_CtrLogix_ANLZ_34PLC_9349</v>
      </c>
      <c r="M44" s="1" t="str">
        <f>"MKDIR "&amp;Table1[[#This Row],[Suggested Folder Naming]]</f>
        <v>MKDIR D:\PAS\CBR\ProcessedFiles\WCC\PLC\LAR_WCC_PLC_AB_CtrLogix_ANLZ_34PLC_9349</v>
      </c>
    </row>
    <row r="45" spans="1:13" s="1" customFormat="1" x14ac:dyDescent="0.25">
      <c r="A45" s="21"/>
      <c r="B45" s="7" t="s">
        <v>584</v>
      </c>
      <c r="C45" s="8" t="s">
        <v>480</v>
      </c>
      <c r="D45" s="19" t="s">
        <v>509</v>
      </c>
      <c r="E45" s="30" t="s">
        <v>31</v>
      </c>
      <c r="F45" s="31" t="s">
        <v>32</v>
      </c>
      <c r="G45" s="31" t="str">
        <f>_xlfn.IFNA(VLOOKUP(F45,'[1]Look Table'!B$1:E$75,3,FALSE),"")</f>
        <v>AB</v>
      </c>
      <c r="H45" s="31" t="str">
        <f>_xlfn.IFNA(VLOOKUP(F45,'[1]Look Table'!B$1:E$75,4,FALSE),"")</f>
        <v>CtrLogix</v>
      </c>
      <c r="I45" s="41" t="s">
        <v>463</v>
      </c>
      <c r="J45" s="31" t="str">
        <f t="shared" si="0"/>
        <v>LAR_WCC</v>
      </c>
      <c r="K45" s="3" t="str">
        <f>J45&amp;"_"&amp;E45&amp;IF(ISNUMBER(SEARCH("PAS",G45)),"","_")&amp;(_xlfn.TEXTJOIN("_",TRUE,IF(G45 &lt;&gt; "PAS",G45:H45,""))&amp;(IF(Table1[[#This Row],[Sub-Area]]&lt;&gt;"",_xlfn.CONCAT("_",Table1[[#This Row],[Sub-Area]]),"")))</f>
        <v>LAR_WCC_PLC_AB_CtrLogix_ANLZ_52PLC_9350</v>
      </c>
      <c r="L45" s="32" t="str">
        <f>IF(I45 &lt;&gt; "",I45&amp;":\PAS\CBR\ProcessedFiles\"&amp;Table1[[#This Row],[Units]]&amp;"\"&amp;Table1[[#This Row],[Asset Type]]&amp;"\"&amp;K45,"")</f>
        <v>D:\PAS\CBR\ProcessedFiles\WCC\PLC\LAR_WCC_PLC_AB_CtrLogix_ANLZ_52PLC_9350</v>
      </c>
      <c r="M45" s="1" t="str">
        <f>"MKDIR "&amp;Table1[[#This Row],[Suggested Folder Naming]]</f>
        <v>MKDIR D:\PAS\CBR\ProcessedFiles\WCC\PLC\LAR_WCC_PLC_AB_CtrLogix_ANLZ_52PLC_9350</v>
      </c>
    </row>
    <row r="46" spans="1:13" s="1" customFormat="1" x14ac:dyDescent="0.25">
      <c r="A46" s="21"/>
      <c r="B46" s="7" t="s">
        <v>584</v>
      </c>
      <c r="C46" s="8" t="s">
        <v>480</v>
      </c>
      <c r="D46" s="19" t="s">
        <v>513</v>
      </c>
      <c r="E46" s="30" t="s">
        <v>31</v>
      </c>
      <c r="F46" s="31" t="s">
        <v>32</v>
      </c>
      <c r="G46" s="31" t="str">
        <f>_xlfn.IFNA(VLOOKUP(F46,'[1]Look Table'!B$1:E$75,3,FALSE),"")</f>
        <v>AB</v>
      </c>
      <c r="H46" s="31" t="str">
        <f>_xlfn.IFNA(VLOOKUP(F46,'[1]Look Table'!B$1:E$75,4,FALSE),"")</f>
        <v>CtrLogix</v>
      </c>
      <c r="I46" s="41" t="s">
        <v>463</v>
      </c>
      <c r="J46" s="31" t="str">
        <f t="shared" si="0"/>
        <v>LAR_WCC</v>
      </c>
      <c r="K46" s="3" t="str">
        <f>J46&amp;"_"&amp;E46&amp;IF(ISNUMBER(SEARCH("PAS",G46)),"","_")&amp;(_xlfn.TEXTJOIN("_",TRUE,IF(G46 &lt;&gt; "PAS",G46:H46,""))&amp;(IF(Table1[[#This Row],[Sub-Area]]&lt;&gt;"",_xlfn.CONCAT("_",Table1[[#This Row],[Sub-Area]]),"")))</f>
        <v>LAR_WCC_PLC_AB_CtrLogix_ANLZ_68PLC_9069</v>
      </c>
      <c r="L46" s="32" t="str">
        <f>IF(I46 &lt;&gt; "",I46&amp;":\PAS\CBR\ProcessedFiles\"&amp;Table1[[#This Row],[Units]]&amp;"\"&amp;Table1[[#This Row],[Asset Type]]&amp;"\"&amp;K46,"")</f>
        <v>D:\PAS\CBR\ProcessedFiles\WCC\PLC\LAR_WCC_PLC_AB_CtrLogix_ANLZ_68PLC_9069</v>
      </c>
      <c r="M46" s="1" t="str">
        <f>"MKDIR "&amp;Table1[[#This Row],[Suggested Folder Naming]]</f>
        <v>MKDIR D:\PAS\CBR\ProcessedFiles\WCC\PLC\LAR_WCC_PLC_AB_CtrLogix_ANLZ_68PLC_9069</v>
      </c>
    </row>
    <row r="47" spans="1:13" s="1" customFormat="1" x14ac:dyDescent="0.25">
      <c r="A47" s="21"/>
      <c r="B47" s="7" t="s">
        <v>584</v>
      </c>
      <c r="C47" s="8" t="s">
        <v>480</v>
      </c>
      <c r="D47" s="19" t="s">
        <v>514</v>
      </c>
      <c r="E47" s="30" t="s">
        <v>31</v>
      </c>
      <c r="F47" s="31" t="s">
        <v>32</v>
      </c>
      <c r="G47" s="31" t="str">
        <f>_xlfn.IFNA(VLOOKUP(F47,'[1]Look Table'!B$1:E$75,3,FALSE),"")</f>
        <v>AB</v>
      </c>
      <c r="H47" s="31" t="str">
        <f>_xlfn.IFNA(VLOOKUP(F47,'[1]Look Table'!B$1:E$75,4,FALSE),"")</f>
        <v>CtrLogix</v>
      </c>
      <c r="I47" s="41" t="s">
        <v>463</v>
      </c>
      <c r="J47" s="31" t="str">
        <f t="shared" si="0"/>
        <v>LAR_WCC</v>
      </c>
      <c r="K47" s="3" t="str">
        <f>J47&amp;"_"&amp;E47&amp;IF(ISNUMBER(SEARCH("PAS",G47)),"","_")&amp;(_xlfn.TEXTJOIN("_",TRUE,IF(G47 &lt;&gt; "PAS",G47:H47,""))&amp;(IF(Table1[[#This Row],[Sub-Area]]&lt;&gt;"",_xlfn.CONCAT("_",Table1[[#This Row],[Sub-Area]]),"")))</f>
        <v>LAR_WCC_PLC_AB_CtrLogix_ANLZ_68PLC_9353</v>
      </c>
      <c r="L47" s="32" t="str">
        <f>IF(I47 &lt;&gt; "",I47&amp;":\PAS\CBR\ProcessedFiles\"&amp;Table1[[#This Row],[Units]]&amp;"\"&amp;Table1[[#This Row],[Asset Type]]&amp;"\"&amp;K47,"")</f>
        <v>D:\PAS\CBR\ProcessedFiles\WCC\PLC\LAR_WCC_PLC_AB_CtrLogix_ANLZ_68PLC_9353</v>
      </c>
      <c r="M47" s="1" t="str">
        <f>"MKDIR "&amp;Table1[[#This Row],[Suggested Folder Naming]]</f>
        <v>MKDIR D:\PAS\CBR\ProcessedFiles\WCC\PLC\LAR_WCC_PLC_AB_CtrLogix_ANLZ_68PLC_9353</v>
      </c>
    </row>
    <row r="48" spans="1:13" s="1" customFormat="1" x14ac:dyDescent="0.25">
      <c r="A48" s="21"/>
      <c r="B48" s="7" t="s">
        <v>584</v>
      </c>
      <c r="C48" s="8" t="s">
        <v>480</v>
      </c>
      <c r="D48" s="19" t="s">
        <v>516</v>
      </c>
      <c r="E48" s="30" t="s">
        <v>31</v>
      </c>
      <c r="F48" s="31" t="s">
        <v>32</v>
      </c>
      <c r="G48" s="31" t="str">
        <f>_xlfn.IFNA(VLOOKUP(F48,'[1]Look Table'!B$1:E$75,3,FALSE),"")</f>
        <v>AB</v>
      </c>
      <c r="H48" s="31" t="str">
        <f>_xlfn.IFNA(VLOOKUP(F48,'[1]Look Table'!B$1:E$75,4,FALSE),"")</f>
        <v>CtrLogix</v>
      </c>
      <c r="I48" s="41" t="s">
        <v>463</v>
      </c>
      <c r="J48" s="31" t="str">
        <f t="shared" si="0"/>
        <v>LAR_WCC</v>
      </c>
      <c r="K48" s="3" t="str">
        <f>J48&amp;"_"&amp;E48&amp;IF(ISNUMBER(SEARCH("PAS",G48)),"","_")&amp;(_xlfn.TEXTJOIN("_",TRUE,IF(G48 &lt;&gt; "PAS",G48:H48,""))&amp;(IF(Table1[[#This Row],[Sub-Area]]&lt;&gt;"",_xlfn.CONCAT("_",Table1[[#This Row],[Sub-Area]]),"")))</f>
        <v>LAR_WCC_PLC_AB_CtrLogix_ANLZ_70PLC_9335</v>
      </c>
      <c r="L48" s="32" t="str">
        <f>IF(I48 &lt;&gt; "",I48&amp;":\PAS\CBR\ProcessedFiles\"&amp;Table1[[#This Row],[Units]]&amp;"\"&amp;Table1[[#This Row],[Asset Type]]&amp;"\"&amp;K48,"")</f>
        <v>D:\PAS\CBR\ProcessedFiles\WCC\PLC\LAR_WCC_PLC_AB_CtrLogix_ANLZ_70PLC_9335</v>
      </c>
      <c r="M48" s="1" t="str">
        <f>"MKDIR "&amp;Table1[[#This Row],[Suggested Folder Naming]]</f>
        <v>MKDIR D:\PAS\CBR\ProcessedFiles\WCC\PLC\LAR_WCC_PLC_AB_CtrLogix_ANLZ_70PLC_9335</v>
      </c>
    </row>
    <row r="49" spans="1:13" s="1" customFormat="1" x14ac:dyDescent="0.25">
      <c r="A49" s="21"/>
      <c r="B49" s="7" t="s">
        <v>584</v>
      </c>
      <c r="C49" s="8" t="s">
        <v>480</v>
      </c>
      <c r="D49" s="19" t="s">
        <v>519</v>
      </c>
      <c r="E49" s="30" t="s">
        <v>31</v>
      </c>
      <c r="F49" s="31" t="s">
        <v>32</v>
      </c>
      <c r="G49" s="31" t="str">
        <f>_xlfn.IFNA(VLOOKUP(F49,'[1]Look Table'!B$1:E$75,3,FALSE),"")</f>
        <v>AB</v>
      </c>
      <c r="H49" s="31" t="str">
        <f>_xlfn.IFNA(VLOOKUP(F49,'[1]Look Table'!B$1:E$75,4,FALSE),"")</f>
        <v>CtrLogix</v>
      </c>
      <c r="I49" s="41" t="s">
        <v>463</v>
      </c>
      <c r="J49" s="31" t="str">
        <f t="shared" si="0"/>
        <v>LAR_WCC</v>
      </c>
      <c r="K49" s="3" t="str">
        <f>J49&amp;"_"&amp;E49&amp;IF(ISNUMBER(SEARCH("PAS",G49)),"","_")&amp;(_xlfn.TEXTJOIN("_",TRUE,IF(G49 &lt;&gt; "PAS",G49:H49,""))&amp;(IF(Table1[[#This Row],[Sub-Area]]&lt;&gt;"",_xlfn.CONCAT("_",Table1[[#This Row],[Sub-Area]]),"")))</f>
        <v>LAR_WCC_PLC_AB_CtrLogix_ANLZ_73PLC_9339</v>
      </c>
      <c r="L49" s="32" t="str">
        <f>IF(I49 &lt;&gt; "",I49&amp;":\PAS\CBR\ProcessedFiles\"&amp;Table1[[#This Row],[Units]]&amp;"\"&amp;Table1[[#This Row],[Asset Type]]&amp;"\"&amp;K49,"")</f>
        <v>D:\PAS\CBR\ProcessedFiles\WCC\PLC\LAR_WCC_PLC_AB_CtrLogix_ANLZ_73PLC_9339</v>
      </c>
      <c r="M49" s="1" t="str">
        <f>"MKDIR "&amp;Table1[[#This Row],[Suggested Folder Naming]]</f>
        <v>MKDIR D:\PAS\CBR\ProcessedFiles\WCC\PLC\LAR_WCC_PLC_AB_CtrLogix_ANLZ_73PLC_9339</v>
      </c>
    </row>
    <row r="50" spans="1:13" s="1" customFormat="1" x14ac:dyDescent="0.25">
      <c r="A50" s="21"/>
      <c r="B50" s="7" t="s">
        <v>584</v>
      </c>
      <c r="C50" s="8" t="s">
        <v>480</v>
      </c>
      <c r="D50" s="19" t="s">
        <v>520</v>
      </c>
      <c r="E50" s="30" t="s">
        <v>31</v>
      </c>
      <c r="F50" s="31" t="s">
        <v>32</v>
      </c>
      <c r="G50" s="31" t="str">
        <f>_xlfn.IFNA(VLOOKUP(F50,'[1]Look Table'!B$1:E$75,3,FALSE),"")</f>
        <v>AB</v>
      </c>
      <c r="H50" s="31" t="str">
        <f>_xlfn.IFNA(VLOOKUP(F50,'[1]Look Table'!B$1:E$75,4,FALSE),"")</f>
        <v>CtrLogix</v>
      </c>
      <c r="I50" s="41" t="s">
        <v>463</v>
      </c>
      <c r="J50" s="31" t="str">
        <f t="shared" si="0"/>
        <v>LAR_WCC</v>
      </c>
      <c r="K50" s="3" t="str">
        <f>J50&amp;"_"&amp;E50&amp;IF(ISNUMBER(SEARCH("PAS",G50)),"","_")&amp;(_xlfn.TEXTJOIN("_",TRUE,IF(G50 &lt;&gt; "PAS",G50:H50,""))&amp;(IF(Table1[[#This Row],[Sub-Area]]&lt;&gt;"",_xlfn.CONCAT("_",Table1[[#This Row],[Sub-Area]]),"")))</f>
        <v>LAR_WCC_PLC_AB_CtrLogix_ANLZ_73PLC_9341</v>
      </c>
      <c r="L50" s="32" t="str">
        <f>IF(I50 &lt;&gt; "",I50&amp;":\PAS\CBR\ProcessedFiles\"&amp;Table1[[#This Row],[Units]]&amp;"\"&amp;Table1[[#This Row],[Asset Type]]&amp;"\"&amp;K50,"")</f>
        <v>D:\PAS\CBR\ProcessedFiles\WCC\PLC\LAR_WCC_PLC_AB_CtrLogix_ANLZ_73PLC_9341</v>
      </c>
      <c r="M50" s="1" t="str">
        <f>"MKDIR "&amp;Table1[[#This Row],[Suggested Folder Naming]]</f>
        <v>MKDIR D:\PAS\CBR\ProcessedFiles\WCC\PLC\LAR_WCC_PLC_AB_CtrLogix_ANLZ_73PLC_9341</v>
      </c>
    </row>
    <row r="51" spans="1:13" s="1" customFormat="1" x14ac:dyDescent="0.25">
      <c r="A51" s="21"/>
      <c r="B51" s="7" t="s">
        <v>584</v>
      </c>
      <c r="C51" s="8" t="s">
        <v>480</v>
      </c>
      <c r="D51" s="19" t="s">
        <v>521</v>
      </c>
      <c r="E51" s="30" t="s">
        <v>31</v>
      </c>
      <c r="F51" s="31" t="s">
        <v>32</v>
      </c>
      <c r="G51" s="31" t="str">
        <f>_xlfn.IFNA(VLOOKUP(F51,'[1]Look Table'!B$1:E$75,3,FALSE),"")</f>
        <v>AB</v>
      </c>
      <c r="H51" s="31" t="str">
        <f>_xlfn.IFNA(VLOOKUP(F51,'[1]Look Table'!B$1:E$75,4,FALSE),"")</f>
        <v>CtrLogix</v>
      </c>
      <c r="I51" s="41" t="s">
        <v>463</v>
      </c>
      <c r="J51" s="31" t="str">
        <f t="shared" si="0"/>
        <v>LAR_WCC</v>
      </c>
      <c r="K51" s="3" t="str">
        <f>J51&amp;"_"&amp;E51&amp;IF(ISNUMBER(SEARCH("PAS",G51)),"","_")&amp;(_xlfn.TEXTJOIN("_",TRUE,IF(G51 &lt;&gt; "PAS",G51:H51,""))&amp;(IF(Table1[[#This Row],[Sub-Area]]&lt;&gt;"",_xlfn.CONCAT("_",Table1[[#This Row],[Sub-Area]]),"")))</f>
        <v>LAR_WCC_PLC_AB_CtrLogix_ANLZ_73PLC_9345</v>
      </c>
      <c r="L51" s="32" t="str">
        <f>IF(I51 &lt;&gt; "",I51&amp;":\PAS\CBR\ProcessedFiles\"&amp;Table1[[#This Row],[Units]]&amp;"\"&amp;Table1[[#This Row],[Asset Type]]&amp;"\"&amp;K51,"")</f>
        <v>D:\PAS\CBR\ProcessedFiles\WCC\PLC\LAR_WCC_PLC_AB_CtrLogix_ANLZ_73PLC_9345</v>
      </c>
      <c r="M51" s="1" t="str">
        <f>"MKDIR "&amp;Table1[[#This Row],[Suggested Folder Naming]]</f>
        <v>MKDIR D:\PAS\CBR\ProcessedFiles\WCC\PLC\LAR_WCC_PLC_AB_CtrLogix_ANLZ_73PLC_9345</v>
      </c>
    </row>
    <row r="52" spans="1:13" s="1" customFormat="1" x14ac:dyDescent="0.25">
      <c r="A52" s="21"/>
      <c r="B52" s="7" t="s">
        <v>584</v>
      </c>
      <c r="C52" s="8" t="s">
        <v>480</v>
      </c>
      <c r="D52" s="19" t="s">
        <v>529</v>
      </c>
      <c r="E52" s="30" t="s">
        <v>31</v>
      </c>
      <c r="F52" s="31" t="s">
        <v>32</v>
      </c>
      <c r="G52" s="31" t="str">
        <f>_xlfn.IFNA(VLOOKUP(F52,'[1]Look Table'!B$1:E$75,3,FALSE),"")</f>
        <v>AB</v>
      </c>
      <c r="H52" s="31" t="str">
        <f>_xlfn.IFNA(VLOOKUP(F52,'[1]Look Table'!B$1:E$75,4,FALSE),"")</f>
        <v>CtrLogix</v>
      </c>
      <c r="I52" s="41" t="s">
        <v>463</v>
      </c>
      <c r="J52" s="31" t="str">
        <f t="shared" si="0"/>
        <v>LAR_WCC</v>
      </c>
      <c r="K52" s="3" t="str">
        <f>J52&amp;"_"&amp;E52&amp;IF(ISNUMBER(SEARCH("PAS",G52)),"","_")&amp;(_xlfn.TEXTJOIN("_",TRUE,IF(G52 &lt;&gt; "PAS",G52:H52,""))&amp;(IF(Table1[[#This Row],[Sub-Area]]&lt;&gt;"",_xlfn.CONCAT("_",Table1[[#This Row],[Sub-Area]]),"")))</f>
        <v>LAR_WCC_PLC_AB_CtrLogix_ANLZ_80PLC_9326</v>
      </c>
      <c r="L52" s="32" t="str">
        <f>IF(I52 &lt;&gt; "",I52&amp;":\PAS\CBR\ProcessedFiles\"&amp;Table1[[#This Row],[Units]]&amp;"\"&amp;Table1[[#This Row],[Asset Type]]&amp;"\"&amp;K52,"")</f>
        <v>D:\PAS\CBR\ProcessedFiles\WCC\PLC\LAR_WCC_PLC_AB_CtrLogix_ANLZ_80PLC_9326</v>
      </c>
      <c r="M52" s="1" t="str">
        <f>"MKDIR "&amp;Table1[[#This Row],[Suggested Folder Naming]]</f>
        <v>MKDIR D:\PAS\CBR\ProcessedFiles\WCC\PLC\LAR_WCC_PLC_AB_CtrLogix_ANLZ_80PLC_9326</v>
      </c>
    </row>
    <row r="53" spans="1:13" s="1" customFormat="1" x14ac:dyDescent="0.25">
      <c r="A53" s="21"/>
      <c r="B53" s="7" t="s">
        <v>584</v>
      </c>
      <c r="C53" s="8" t="s">
        <v>480</v>
      </c>
      <c r="D53" s="19" t="s">
        <v>540</v>
      </c>
      <c r="E53" s="30" t="s">
        <v>31</v>
      </c>
      <c r="F53" s="31" t="s">
        <v>32</v>
      </c>
      <c r="G53" s="31" t="str">
        <f>_xlfn.IFNA(VLOOKUP(F53,'[1]Look Table'!B$1:E$75,3,FALSE),"")</f>
        <v>AB</v>
      </c>
      <c r="H53" s="31" t="str">
        <f>_xlfn.IFNA(VLOOKUP(F53,'[1]Look Table'!B$1:E$75,4,FALSE),"")</f>
        <v>CtrLogix</v>
      </c>
      <c r="I53" s="41" t="s">
        <v>463</v>
      </c>
      <c r="J53" s="31" t="str">
        <f t="shared" si="0"/>
        <v>LAR_WCC</v>
      </c>
      <c r="K53" s="3" t="str">
        <f>J53&amp;"_"&amp;E53&amp;IF(ISNUMBER(SEARCH("PAS",G53)),"","_")&amp;(_xlfn.TEXTJOIN("_",TRUE,IF(G53 &lt;&gt; "PAS",G53:H53,""))&amp;(IF(Table1[[#This Row],[Sub-Area]]&lt;&gt;"",_xlfn.CONCAT("_",Table1[[#This Row],[Sub-Area]]),"")))</f>
        <v>LAR_WCC_PLC_AB_CtrLogix_ANLZ_Cogen_91_Exhaust_Nox</v>
      </c>
      <c r="L53" s="32" t="str">
        <f>IF(I53 &lt;&gt; "",I53&amp;":\PAS\CBR\ProcessedFiles\"&amp;Table1[[#This Row],[Units]]&amp;"\"&amp;Table1[[#This Row],[Asset Type]]&amp;"\"&amp;K53,"")</f>
        <v>D:\PAS\CBR\ProcessedFiles\WCC\PLC\LAR_WCC_PLC_AB_CtrLogix_ANLZ_Cogen_91_Exhaust_Nox</v>
      </c>
      <c r="M53" s="1" t="str">
        <f>"MKDIR "&amp;Table1[[#This Row],[Suggested Folder Naming]]</f>
        <v>MKDIR D:\PAS\CBR\ProcessedFiles\WCC\PLC\LAR_WCC_PLC_AB_CtrLogix_ANLZ_Cogen_91_Exhaust_Nox</v>
      </c>
    </row>
    <row r="54" spans="1:13" s="1" customFormat="1" x14ac:dyDescent="0.25">
      <c r="A54" s="21"/>
      <c r="B54" s="7" t="s">
        <v>584</v>
      </c>
      <c r="C54" s="8" t="s">
        <v>480</v>
      </c>
      <c r="D54" s="19" t="s">
        <v>541</v>
      </c>
      <c r="E54" s="30" t="s">
        <v>31</v>
      </c>
      <c r="F54" s="31" t="s">
        <v>32</v>
      </c>
      <c r="G54" s="31" t="str">
        <f>_xlfn.IFNA(VLOOKUP(F54,'[1]Look Table'!B$1:E$75,3,FALSE),"")</f>
        <v>AB</v>
      </c>
      <c r="H54" s="31" t="str">
        <f>_xlfn.IFNA(VLOOKUP(F54,'[1]Look Table'!B$1:E$75,4,FALSE),"")</f>
        <v>CtrLogix</v>
      </c>
      <c r="I54" s="41" t="s">
        <v>463</v>
      </c>
      <c r="J54" s="31" t="str">
        <f t="shared" si="0"/>
        <v>LAR_WCC</v>
      </c>
      <c r="K54" s="3" t="str">
        <f>J54&amp;"_"&amp;E54&amp;IF(ISNUMBER(SEARCH("PAS",G54)),"","_")&amp;(_xlfn.TEXTJOIN("_",TRUE,IF(G54 &lt;&gt; "PAS",G54:H54,""))&amp;(IF(Table1[[#This Row],[Sub-Area]]&lt;&gt;"",_xlfn.CONCAT("_",Table1[[#This Row],[Sub-Area]]),"")))</f>
        <v>LAR_WCC_PLC_AB_CtrLogix_ANLZ_Cogen_91_Train_CEMS</v>
      </c>
      <c r="L54" s="32" t="str">
        <f>IF(I54 &lt;&gt; "",I54&amp;":\PAS\CBR\ProcessedFiles\"&amp;Table1[[#This Row],[Units]]&amp;"\"&amp;Table1[[#This Row],[Asset Type]]&amp;"\"&amp;K54,"")</f>
        <v>D:\PAS\CBR\ProcessedFiles\WCC\PLC\LAR_WCC_PLC_AB_CtrLogix_ANLZ_Cogen_91_Train_CEMS</v>
      </c>
      <c r="M54" s="1" t="str">
        <f>"MKDIR "&amp;Table1[[#This Row],[Suggested Folder Naming]]</f>
        <v>MKDIR D:\PAS\CBR\ProcessedFiles\WCC\PLC\LAR_WCC_PLC_AB_CtrLogix_ANLZ_Cogen_91_Train_CEMS</v>
      </c>
    </row>
    <row r="55" spans="1:13" s="1" customFormat="1" x14ac:dyDescent="0.25">
      <c r="A55" s="21"/>
      <c r="B55" s="7" t="s">
        <v>584</v>
      </c>
      <c r="C55" s="8" t="s">
        <v>480</v>
      </c>
      <c r="D55" s="19" t="s">
        <v>542</v>
      </c>
      <c r="E55" s="30" t="s">
        <v>31</v>
      </c>
      <c r="F55" s="31" t="s">
        <v>32</v>
      </c>
      <c r="G55" s="31" t="str">
        <f>_xlfn.IFNA(VLOOKUP(F55,'[1]Look Table'!B$1:E$75,3,FALSE),"")</f>
        <v>AB</v>
      </c>
      <c r="H55" s="31" t="str">
        <f>_xlfn.IFNA(VLOOKUP(F55,'[1]Look Table'!B$1:E$75,4,FALSE),"")</f>
        <v>CtrLogix</v>
      </c>
      <c r="I55" s="41" t="s">
        <v>463</v>
      </c>
      <c r="J55" s="31" t="str">
        <f t="shared" si="0"/>
        <v>LAR_WCC</v>
      </c>
      <c r="K55" s="3" t="str">
        <f>J55&amp;"_"&amp;E55&amp;IF(ISNUMBER(SEARCH("PAS",G55)),"","_")&amp;(_xlfn.TEXTJOIN("_",TRUE,IF(G55 &lt;&gt; "PAS",G55:H55,""))&amp;(IF(Table1[[#This Row],[Sub-Area]]&lt;&gt;"",_xlfn.CONCAT("_",Table1[[#This Row],[Sub-Area]]),"")))</f>
        <v>LAR_WCC_PLC_AB_CtrLogix_ANLZ_Cogen_92_Exhaust_Nox</v>
      </c>
      <c r="L55" s="32" t="str">
        <f>IF(I55 &lt;&gt; "",I55&amp;":\PAS\CBR\ProcessedFiles\"&amp;Table1[[#This Row],[Units]]&amp;"\"&amp;Table1[[#This Row],[Asset Type]]&amp;"\"&amp;K55,"")</f>
        <v>D:\PAS\CBR\ProcessedFiles\WCC\PLC\LAR_WCC_PLC_AB_CtrLogix_ANLZ_Cogen_92_Exhaust_Nox</v>
      </c>
      <c r="M55" s="1" t="str">
        <f>"MKDIR "&amp;Table1[[#This Row],[Suggested Folder Naming]]</f>
        <v>MKDIR D:\PAS\CBR\ProcessedFiles\WCC\PLC\LAR_WCC_PLC_AB_CtrLogix_ANLZ_Cogen_92_Exhaust_Nox</v>
      </c>
    </row>
    <row r="56" spans="1:13" s="1" customFormat="1" x14ac:dyDescent="0.25">
      <c r="A56" s="21"/>
      <c r="B56" s="7" t="s">
        <v>584</v>
      </c>
      <c r="C56" s="8" t="s">
        <v>480</v>
      </c>
      <c r="D56" s="19" t="s">
        <v>543</v>
      </c>
      <c r="E56" s="30" t="s">
        <v>31</v>
      </c>
      <c r="F56" s="31" t="s">
        <v>32</v>
      </c>
      <c r="G56" s="31" t="str">
        <f>_xlfn.IFNA(VLOOKUP(F56,'[1]Look Table'!B$1:E$75,3,FALSE),"")</f>
        <v>AB</v>
      </c>
      <c r="H56" s="31" t="str">
        <f>_xlfn.IFNA(VLOOKUP(F56,'[1]Look Table'!B$1:E$75,4,FALSE),"")</f>
        <v>CtrLogix</v>
      </c>
      <c r="I56" s="41" t="s">
        <v>463</v>
      </c>
      <c r="J56" s="31" t="str">
        <f t="shared" si="0"/>
        <v>LAR_WCC</v>
      </c>
      <c r="K56" s="3" t="str">
        <f>J56&amp;"_"&amp;E56&amp;IF(ISNUMBER(SEARCH("PAS",G56)),"","_")&amp;(_xlfn.TEXTJOIN("_",TRUE,IF(G56 &lt;&gt; "PAS",G56:H56,""))&amp;(IF(Table1[[#This Row],[Sub-Area]]&lt;&gt;"",_xlfn.CONCAT("_",Table1[[#This Row],[Sub-Area]]),"")))</f>
        <v>LAR_WCC_PLC_AB_CtrLogix_ANLZ_Cogen_92_Train_CEMS</v>
      </c>
      <c r="L56" s="32" t="str">
        <f>IF(I56 &lt;&gt; "",I56&amp;":\PAS\CBR\ProcessedFiles\"&amp;Table1[[#This Row],[Units]]&amp;"\"&amp;Table1[[#This Row],[Asset Type]]&amp;"\"&amp;K56,"")</f>
        <v>D:\PAS\CBR\ProcessedFiles\WCC\PLC\LAR_WCC_PLC_AB_CtrLogix_ANLZ_Cogen_92_Train_CEMS</v>
      </c>
      <c r="M56" s="1" t="str">
        <f>"MKDIR "&amp;Table1[[#This Row],[Suggested Folder Naming]]</f>
        <v>MKDIR D:\PAS\CBR\ProcessedFiles\WCC\PLC\LAR_WCC_PLC_AB_CtrLogix_ANLZ_Cogen_92_Train_CEMS</v>
      </c>
    </row>
    <row r="57" spans="1:13" s="1" customFormat="1" x14ac:dyDescent="0.25">
      <c r="A57" s="21"/>
      <c r="B57" s="7" t="s">
        <v>584</v>
      </c>
      <c r="C57" s="8" t="s">
        <v>480</v>
      </c>
      <c r="D57" s="19" t="s">
        <v>544</v>
      </c>
      <c r="E57" s="30" t="s">
        <v>31</v>
      </c>
      <c r="F57" s="31" t="s">
        <v>32</v>
      </c>
      <c r="G57" s="31" t="str">
        <f>_xlfn.IFNA(VLOOKUP(F57,'[1]Look Table'!B$1:E$75,3,FALSE),"")</f>
        <v>AB</v>
      </c>
      <c r="H57" s="31" t="str">
        <f>_xlfn.IFNA(VLOOKUP(F57,'[1]Look Table'!B$1:E$75,4,FALSE),"")</f>
        <v>CtrLogix</v>
      </c>
      <c r="I57" s="41" t="s">
        <v>463</v>
      </c>
      <c r="J57" s="31" t="str">
        <f t="shared" si="0"/>
        <v>LAR_WCC</v>
      </c>
      <c r="K57" s="3" t="str">
        <f>J57&amp;"_"&amp;E57&amp;IF(ISNUMBER(SEARCH("PAS",G57)),"","_")&amp;(_xlfn.TEXTJOIN("_",TRUE,IF(G57 &lt;&gt; "PAS",G57:H57,""))&amp;(IF(Table1[[#This Row],[Sub-Area]]&lt;&gt;"",_xlfn.CONCAT("_",Table1[[#This Row],[Sub-Area]]),"")))</f>
        <v>LAR_WCC_PLC_AB_CtrLogix_ANLZ_Cogen_93_Exhaust_Nox</v>
      </c>
      <c r="L57" s="32" t="str">
        <f>IF(I57 &lt;&gt; "",I57&amp;":\PAS\CBR\ProcessedFiles\"&amp;Table1[[#This Row],[Units]]&amp;"\"&amp;Table1[[#This Row],[Asset Type]]&amp;"\"&amp;K57,"")</f>
        <v>D:\PAS\CBR\ProcessedFiles\WCC\PLC\LAR_WCC_PLC_AB_CtrLogix_ANLZ_Cogen_93_Exhaust_Nox</v>
      </c>
      <c r="M57" s="1" t="str">
        <f>"MKDIR "&amp;Table1[[#This Row],[Suggested Folder Naming]]</f>
        <v>MKDIR D:\PAS\CBR\ProcessedFiles\WCC\PLC\LAR_WCC_PLC_AB_CtrLogix_ANLZ_Cogen_93_Exhaust_Nox</v>
      </c>
    </row>
    <row r="58" spans="1:13" s="1" customFormat="1" x14ac:dyDescent="0.25">
      <c r="A58" s="21"/>
      <c r="B58" s="7" t="s">
        <v>584</v>
      </c>
      <c r="C58" s="8" t="s">
        <v>480</v>
      </c>
      <c r="D58" s="19" t="s">
        <v>545</v>
      </c>
      <c r="E58" s="30" t="s">
        <v>31</v>
      </c>
      <c r="F58" s="31" t="s">
        <v>32</v>
      </c>
      <c r="G58" s="31" t="str">
        <f>_xlfn.IFNA(VLOOKUP(F58,'[1]Look Table'!B$1:E$75,3,FALSE),"")</f>
        <v>AB</v>
      </c>
      <c r="H58" s="31" t="str">
        <f>_xlfn.IFNA(VLOOKUP(F58,'[1]Look Table'!B$1:E$75,4,FALSE),"")</f>
        <v>CtrLogix</v>
      </c>
      <c r="I58" s="41" t="s">
        <v>463</v>
      </c>
      <c r="J58" s="31" t="str">
        <f t="shared" si="0"/>
        <v>LAR_WCC</v>
      </c>
      <c r="K58" s="3" t="str">
        <f>J58&amp;"_"&amp;E58&amp;IF(ISNUMBER(SEARCH("PAS",G58)),"","_")&amp;(_xlfn.TEXTJOIN("_",TRUE,IF(G58 &lt;&gt; "PAS",G58:H58,""))&amp;(IF(Table1[[#This Row],[Sub-Area]]&lt;&gt;"",_xlfn.CONCAT("_",Table1[[#This Row],[Sub-Area]]),"")))</f>
        <v>LAR_WCC_PLC_AB_CtrLogix_ANLZ_Cogen_93_Train_CEMS</v>
      </c>
      <c r="L58" s="32" t="str">
        <f>IF(I58 &lt;&gt; "",I58&amp;":\PAS\CBR\ProcessedFiles\"&amp;Table1[[#This Row],[Units]]&amp;"\"&amp;Table1[[#This Row],[Asset Type]]&amp;"\"&amp;K58,"")</f>
        <v>D:\PAS\CBR\ProcessedFiles\WCC\PLC\LAR_WCC_PLC_AB_CtrLogix_ANLZ_Cogen_93_Train_CEMS</v>
      </c>
      <c r="M58" s="1" t="str">
        <f>"MKDIR "&amp;Table1[[#This Row],[Suggested Folder Naming]]</f>
        <v>MKDIR D:\PAS\CBR\ProcessedFiles\WCC\PLC\LAR_WCC_PLC_AB_CtrLogix_ANLZ_Cogen_93_Train_CEMS</v>
      </c>
    </row>
    <row r="59" spans="1:13" s="1" customFormat="1" x14ac:dyDescent="0.25">
      <c r="A59" s="21"/>
      <c r="B59" s="7" t="s">
        <v>584</v>
      </c>
      <c r="C59" s="8" t="s">
        <v>480</v>
      </c>
      <c r="D59" s="19" t="s">
        <v>546</v>
      </c>
      <c r="E59" s="30" t="s">
        <v>31</v>
      </c>
      <c r="F59" s="31" t="s">
        <v>32</v>
      </c>
      <c r="G59" s="31" t="str">
        <f>_xlfn.IFNA(VLOOKUP(F59,'[1]Look Table'!B$1:E$75,3,FALSE),"")</f>
        <v>AB</v>
      </c>
      <c r="H59" s="31" t="str">
        <f>_xlfn.IFNA(VLOOKUP(F59,'[1]Look Table'!B$1:E$75,4,FALSE),"")</f>
        <v>CtrLogix</v>
      </c>
      <c r="I59" s="41" t="s">
        <v>463</v>
      </c>
      <c r="J59" s="31" t="str">
        <f t="shared" si="0"/>
        <v>LAR_WCC</v>
      </c>
      <c r="K59" s="3" t="str">
        <f>J59&amp;"_"&amp;E59&amp;IF(ISNUMBER(SEARCH("PAS",G59)),"","_")&amp;(_xlfn.TEXTJOIN("_",TRUE,IF(G59 &lt;&gt; "PAS",G59:H59,""))&amp;(IF(Table1[[#This Row],[Sub-Area]]&lt;&gt;"",_xlfn.CONCAT("_",Table1[[#This Row],[Sub-Area]]),"")))</f>
        <v>LAR_WCC_PLC_AB_CtrLogix_ANLZ_Cogen_94_Exhaust_Nox</v>
      </c>
      <c r="L59" s="32" t="str">
        <f>IF(I59 &lt;&gt; "",I59&amp;":\PAS\CBR\ProcessedFiles\"&amp;Table1[[#This Row],[Units]]&amp;"\"&amp;Table1[[#This Row],[Asset Type]]&amp;"\"&amp;K59,"")</f>
        <v>D:\PAS\CBR\ProcessedFiles\WCC\PLC\LAR_WCC_PLC_AB_CtrLogix_ANLZ_Cogen_94_Exhaust_Nox</v>
      </c>
      <c r="M59" s="1" t="str">
        <f>"MKDIR "&amp;Table1[[#This Row],[Suggested Folder Naming]]</f>
        <v>MKDIR D:\PAS\CBR\ProcessedFiles\WCC\PLC\LAR_WCC_PLC_AB_CtrLogix_ANLZ_Cogen_94_Exhaust_Nox</v>
      </c>
    </row>
    <row r="60" spans="1:13" s="1" customFormat="1" x14ac:dyDescent="0.25">
      <c r="A60" s="21"/>
      <c r="B60" s="7" t="s">
        <v>584</v>
      </c>
      <c r="C60" s="8" t="s">
        <v>480</v>
      </c>
      <c r="D60" s="19" t="s">
        <v>547</v>
      </c>
      <c r="E60" s="30" t="s">
        <v>31</v>
      </c>
      <c r="F60" s="31" t="s">
        <v>32</v>
      </c>
      <c r="G60" s="31" t="str">
        <f>_xlfn.IFNA(VLOOKUP(F60,'[1]Look Table'!B$1:E$75,3,FALSE),"")</f>
        <v>AB</v>
      </c>
      <c r="H60" s="31" t="str">
        <f>_xlfn.IFNA(VLOOKUP(F60,'[1]Look Table'!B$1:E$75,4,FALSE),"")</f>
        <v>CtrLogix</v>
      </c>
      <c r="I60" s="41" t="s">
        <v>463</v>
      </c>
      <c r="J60" s="31" t="str">
        <f t="shared" si="0"/>
        <v>LAR_WCC</v>
      </c>
      <c r="K60" s="3" t="str">
        <f>J60&amp;"_"&amp;E60&amp;IF(ISNUMBER(SEARCH("PAS",G60)),"","_")&amp;(_xlfn.TEXTJOIN("_",TRUE,IF(G60 &lt;&gt; "PAS",G60:H60,""))&amp;(IF(Table1[[#This Row],[Sub-Area]]&lt;&gt;"",_xlfn.CONCAT("_",Table1[[#This Row],[Sub-Area]]),"")))</f>
        <v>LAR_WCC_PLC_AB_CtrLogix_ANLZ_Cogen_94_Train_CEMS</v>
      </c>
      <c r="L60" s="32" t="str">
        <f>IF(I60 &lt;&gt; "",I60&amp;":\PAS\CBR\ProcessedFiles\"&amp;Table1[[#This Row],[Units]]&amp;"\"&amp;Table1[[#This Row],[Asset Type]]&amp;"\"&amp;K60,"")</f>
        <v>D:\PAS\CBR\ProcessedFiles\WCC\PLC\LAR_WCC_PLC_AB_CtrLogix_ANLZ_Cogen_94_Train_CEMS</v>
      </c>
      <c r="M60" s="1" t="str">
        <f>"MKDIR "&amp;Table1[[#This Row],[Suggested Folder Naming]]</f>
        <v>MKDIR D:\PAS\CBR\ProcessedFiles\WCC\PLC\LAR_WCC_PLC_AB_CtrLogix_ANLZ_Cogen_94_Train_CEMS</v>
      </c>
    </row>
    <row r="61" spans="1:13" s="1" customFormat="1" x14ac:dyDescent="0.25">
      <c r="A61" s="21"/>
      <c r="B61" s="7" t="s">
        <v>584</v>
      </c>
      <c r="C61" s="8" t="s">
        <v>480</v>
      </c>
      <c r="D61" s="19" t="s">
        <v>548</v>
      </c>
      <c r="E61" s="30" t="s">
        <v>31</v>
      </c>
      <c r="F61" s="31" t="s">
        <v>32</v>
      </c>
      <c r="G61" s="31" t="str">
        <f>_xlfn.IFNA(VLOOKUP(F61,'[1]Look Table'!B$1:E$75,3,FALSE),"")</f>
        <v>AB</v>
      </c>
      <c r="H61" s="31" t="str">
        <f>_xlfn.IFNA(VLOOKUP(F61,'[1]Look Table'!B$1:E$75,4,FALSE),"")</f>
        <v>CtrLogix</v>
      </c>
      <c r="I61" s="41" t="s">
        <v>463</v>
      </c>
      <c r="J61" s="31" t="str">
        <f t="shared" si="0"/>
        <v>LAR_WCC</v>
      </c>
      <c r="K61" s="3" t="str">
        <f>J61&amp;"_"&amp;E61&amp;IF(ISNUMBER(SEARCH("PAS",G61)),"","_")&amp;(_xlfn.TEXTJOIN("_",TRUE,IF(G61 &lt;&gt; "PAS",G61:H61,""))&amp;(IF(Table1[[#This Row],[Sub-Area]]&lt;&gt;"",_xlfn.CONCAT("_",Table1[[#This Row],[Sub-Area]]),"")))</f>
        <v>LAR_WCC_PLC_AB_CtrLogix_ANLZ_Cogen_Fuel_Gas_GC_PLC</v>
      </c>
      <c r="L61" s="32" t="str">
        <f>IF(I61 &lt;&gt; "",I61&amp;":\PAS\CBR\ProcessedFiles\"&amp;Table1[[#This Row],[Units]]&amp;"\"&amp;Table1[[#This Row],[Asset Type]]&amp;"\"&amp;K61,"")</f>
        <v>D:\PAS\CBR\ProcessedFiles\WCC\PLC\LAR_WCC_PLC_AB_CtrLogix_ANLZ_Cogen_Fuel_Gas_GC_PLC</v>
      </c>
      <c r="M61" s="1" t="str">
        <f>"MKDIR "&amp;Table1[[#This Row],[Suggested Folder Naming]]</f>
        <v>MKDIR D:\PAS\CBR\ProcessedFiles\WCC\PLC\LAR_WCC_PLC_AB_CtrLogix_ANLZ_Cogen_Fuel_Gas_GC_PLC</v>
      </c>
    </row>
    <row r="62" spans="1:13" s="1" customFormat="1" x14ac:dyDescent="0.25">
      <c r="A62" s="21"/>
      <c r="B62" s="7" t="s">
        <v>584</v>
      </c>
      <c r="C62" s="8" t="s">
        <v>480</v>
      </c>
      <c r="D62" s="19" t="s">
        <v>52</v>
      </c>
      <c r="E62" s="30" t="s">
        <v>31</v>
      </c>
      <c r="F62" s="31" t="s">
        <v>32</v>
      </c>
      <c r="G62" s="31" t="s">
        <v>36</v>
      </c>
      <c r="H62" s="31" t="str">
        <f>_xlfn.IFNA(VLOOKUP(F62,'[1]Look Table'!B$1:E$75,4,FALSE),"")</f>
        <v>CtrLogix</v>
      </c>
      <c r="I62" s="41" t="s">
        <v>463</v>
      </c>
      <c r="J62" s="31" t="str">
        <f t="shared" si="0"/>
        <v>LAR_WCC</v>
      </c>
      <c r="K62" s="3" t="str">
        <f>J62&amp;"_"&amp;E62&amp;IF(ISNUMBER(SEARCH("PAS",G62)),"","_")&amp;(_xlfn.TEXTJOIN("_",TRUE,IF(G62 &lt;&gt; "PAS",G62:H62,""))&amp;(IF(Table1[[#This Row],[Sub-Area]]&lt;&gt;"",_xlfn.CONCAT("_",Table1[[#This Row],[Sub-Area]]),"")))</f>
        <v>LAR_WCC_PLC_AB_CtrLogix_GIS_Data_Concentrator</v>
      </c>
      <c r="L62" s="32" t="str">
        <f>IF(I62 &lt;&gt; "",I62&amp;":\PAS\CBR\ProcessedFiles\"&amp;Table1[[#This Row],[Units]]&amp;"\"&amp;Table1[[#This Row],[Asset Type]]&amp;"\"&amp;K62,"")</f>
        <v>D:\PAS\CBR\ProcessedFiles\WCC\PLC\LAR_WCC_PLC_AB_CtrLogix_GIS_Data_Concentrator</v>
      </c>
      <c r="M62" s="33" t="str">
        <f>"MKDIR "&amp;Table1[[#This Row],[Suggested Folder Naming]]</f>
        <v>MKDIR D:\PAS\CBR\ProcessedFiles\WCC\PLC\LAR_WCC_PLC_AB_CtrLogix_GIS_Data_Concentrator</v>
      </c>
    </row>
    <row r="63" spans="1:13" s="1" customFormat="1" x14ac:dyDescent="0.25">
      <c r="A63" s="21"/>
      <c r="B63" s="7" t="s">
        <v>584</v>
      </c>
      <c r="C63" s="8" t="s">
        <v>480</v>
      </c>
      <c r="D63" s="19" t="s">
        <v>53</v>
      </c>
      <c r="E63" s="30" t="s">
        <v>31</v>
      </c>
      <c r="F63" s="31" t="s">
        <v>32</v>
      </c>
      <c r="G63" s="31" t="s">
        <v>36</v>
      </c>
      <c r="H63" s="31" t="str">
        <f>_xlfn.IFNA(VLOOKUP(F63,'[1]Look Table'!B$1:E$75,4,FALSE),"")</f>
        <v>CtrLogix</v>
      </c>
      <c r="I63" s="41" t="s">
        <v>463</v>
      </c>
      <c r="J63" s="31" t="str">
        <f t="shared" si="0"/>
        <v>LAR_WCC</v>
      </c>
      <c r="K63" s="3" t="str">
        <f>J63&amp;"_"&amp;E63&amp;IF(ISNUMBER(SEARCH("PAS",G63)),"","_")&amp;(_xlfn.TEXTJOIN("_",TRUE,IF(G63 &lt;&gt; "PAS",G63:H63,""))&amp;(IF(Table1[[#This Row],[Sub-Area]]&lt;&gt;"",_xlfn.CONCAT("_",Table1[[#This Row],[Sub-Area]]),"")))</f>
        <v>LAR_WCC_PLC_AB_CtrLogix_GIS_PLC_Bay1</v>
      </c>
      <c r="L63" s="32" t="str">
        <f>IF(I63 &lt;&gt; "",I63&amp;":\PAS\CBR\ProcessedFiles\"&amp;Table1[[#This Row],[Units]]&amp;"\"&amp;Table1[[#This Row],[Asset Type]]&amp;"\"&amp;K63,"")</f>
        <v>D:\PAS\CBR\ProcessedFiles\WCC\PLC\LAR_WCC_PLC_AB_CtrLogix_GIS_PLC_Bay1</v>
      </c>
      <c r="M63" s="33" t="str">
        <f>"MKDIR "&amp;Table1[[#This Row],[Suggested Folder Naming]]</f>
        <v>MKDIR D:\PAS\CBR\ProcessedFiles\WCC\PLC\LAR_WCC_PLC_AB_CtrLogix_GIS_PLC_Bay1</v>
      </c>
    </row>
    <row r="64" spans="1:13" s="1" customFormat="1" x14ac:dyDescent="0.25">
      <c r="A64" s="21"/>
      <c r="B64" s="7" t="s">
        <v>584</v>
      </c>
      <c r="C64" s="8" t="s">
        <v>480</v>
      </c>
      <c r="D64" s="19" t="s">
        <v>54</v>
      </c>
      <c r="E64" s="30" t="s">
        <v>31</v>
      </c>
      <c r="F64" s="31" t="s">
        <v>32</v>
      </c>
      <c r="G64" s="31" t="s">
        <v>36</v>
      </c>
      <c r="H64" s="31" t="str">
        <f>_xlfn.IFNA(VLOOKUP(F64,'[1]Look Table'!B$1:E$75,4,FALSE),"")</f>
        <v>CtrLogix</v>
      </c>
      <c r="I64" s="41" t="s">
        <v>463</v>
      </c>
      <c r="J64" s="31" t="str">
        <f t="shared" si="0"/>
        <v>LAR_WCC</v>
      </c>
      <c r="K64" s="3" t="str">
        <f>J64&amp;"_"&amp;E64&amp;IF(ISNUMBER(SEARCH("PAS",G64)),"","_")&amp;(_xlfn.TEXTJOIN("_",TRUE,IF(G64 &lt;&gt; "PAS",G64:H64,""))&amp;(IF(Table1[[#This Row],[Sub-Area]]&lt;&gt;"",_xlfn.CONCAT("_",Table1[[#This Row],[Sub-Area]]),"")))</f>
        <v>LAR_WCC_PLC_AB_CtrLogix_RGC1</v>
      </c>
      <c r="L64" s="32" t="str">
        <f>IF(I64 &lt;&gt; "",I64&amp;":\PAS\CBR\ProcessedFiles\"&amp;Table1[[#This Row],[Units]]&amp;"\"&amp;Table1[[#This Row],[Asset Type]]&amp;"\"&amp;K64,"")</f>
        <v>D:\PAS\CBR\ProcessedFiles\WCC\PLC\LAR_WCC_PLC_AB_CtrLogix_RGC1</v>
      </c>
      <c r="M64" s="33" t="str">
        <f>"MKDIR "&amp;Table1[[#This Row],[Suggested Folder Naming]]</f>
        <v>MKDIR D:\PAS\CBR\ProcessedFiles\WCC\PLC\LAR_WCC_PLC_AB_CtrLogix_RGC1</v>
      </c>
    </row>
    <row r="65" spans="1:13" s="1" customFormat="1" x14ac:dyDescent="0.25">
      <c r="A65" s="21"/>
      <c r="B65" s="7" t="s">
        <v>584</v>
      </c>
      <c r="C65" s="8" t="s">
        <v>480</v>
      </c>
      <c r="D65" s="19" t="s">
        <v>55</v>
      </c>
      <c r="E65" s="30" t="s">
        <v>31</v>
      </c>
      <c r="F65" s="31" t="s">
        <v>32</v>
      </c>
      <c r="G65" s="31" t="s">
        <v>36</v>
      </c>
      <c r="H65" s="31" t="str">
        <f>_xlfn.IFNA(VLOOKUP(F65,'[1]Look Table'!B$1:E$75,4,FALSE),"")</f>
        <v>CtrLogix</v>
      </c>
      <c r="I65" s="41" t="s">
        <v>463</v>
      </c>
      <c r="J65" s="31" t="str">
        <f t="shared" si="0"/>
        <v>LAR_WCC</v>
      </c>
      <c r="K65" s="3" t="str">
        <f>J65&amp;"_"&amp;E65&amp;IF(ISNUMBER(SEARCH("PAS",G65)),"","_")&amp;(_xlfn.TEXTJOIN("_",TRUE,IF(G65 &lt;&gt; "PAS",G65:H65,""))&amp;(IF(Table1[[#This Row],[Sub-Area]]&lt;&gt;"",_xlfn.CONCAT("_",Table1[[#This Row],[Sub-Area]]),"")))</f>
        <v>LAR_WCC_PLC_AB_CtrLogix_RGC2</v>
      </c>
      <c r="L65" s="32" t="str">
        <f>IF(I65 &lt;&gt; "",I65&amp;":\PAS\CBR\ProcessedFiles\"&amp;Table1[[#This Row],[Units]]&amp;"\"&amp;Table1[[#This Row],[Asset Type]]&amp;"\"&amp;K65,"")</f>
        <v>D:\PAS\CBR\ProcessedFiles\WCC\PLC\LAR_WCC_PLC_AB_CtrLogix_RGC2</v>
      </c>
      <c r="M65" s="33" t="str">
        <f>"MKDIR "&amp;Table1[[#This Row],[Suggested Folder Naming]]</f>
        <v>MKDIR D:\PAS\CBR\ProcessedFiles\WCC\PLC\LAR_WCC_PLC_AB_CtrLogix_RGC2</v>
      </c>
    </row>
    <row r="66" spans="1:13" s="1" customFormat="1" x14ac:dyDescent="0.25">
      <c r="A66" s="21"/>
      <c r="B66" s="7" t="s">
        <v>584</v>
      </c>
      <c r="C66" s="8" t="s">
        <v>480</v>
      </c>
      <c r="D66" s="19" t="s">
        <v>56</v>
      </c>
      <c r="E66" s="30" t="s">
        <v>31</v>
      </c>
      <c r="F66" s="31" t="s">
        <v>32</v>
      </c>
      <c r="G66" s="31" t="s">
        <v>36</v>
      </c>
      <c r="H66" s="31" t="str">
        <f>_xlfn.IFNA(VLOOKUP(F66,'[1]Look Table'!B$1:E$75,4,FALSE),"")</f>
        <v>CtrLogix</v>
      </c>
      <c r="I66" s="41" t="s">
        <v>463</v>
      </c>
      <c r="J66" s="31" t="str">
        <f t="shared" si="0"/>
        <v>LAR_WCC</v>
      </c>
      <c r="K66" s="3" t="str">
        <f>J66&amp;"_"&amp;E66&amp;IF(ISNUMBER(SEARCH("PAS",G66)),"","_")&amp;(_xlfn.TEXTJOIN("_",TRUE,IF(G66 &lt;&gt; "PAS",G66:H66,""))&amp;(IF(Table1[[#This Row],[Sub-Area]]&lt;&gt;"",_xlfn.CONCAT("_",Table1[[#This Row],[Sub-Area]]),"")))</f>
        <v>LAR_WCC_PLC_AB_CtrLogix_Water_Softner</v>
      </c>
      <c r="L66" s="32" t="str">
        <f>IF(I66 &lt;&gt; "",I66&amp;":\PAS\CBR\ProcessedFiles\"&amp;Table1[[#This Row],[Units]]&amp;"\"&amp;Table1[[#This Row],[Asset Type]]&amp;"\"&amp;K66,"")</f>
        <v>D:\PAS\CBR\ProcessedFiles\WCC\PLC\LAR_WCC_PLC_AB_CtrLogix_Water_Softner</v>
      </c>
      <c r="M66" s="33" t="str">
        <f>"MKDIR "&amp;Table1[[#This Row],[Suggested Folder Naming]]</f>
        <v>MKDIR D:\PAS\CBR\ProcessedFiles\WCC\PLC\LAR_WCC_PLC_AB_CtrLogix_Water_Softner</v>
      </c>
    </row>
    <row r="67" spans="1:13" s="1" customFormat="1" x14ac:dyDescent="0.25">
      <c r="A67" s="21"/>
      <c r="B67" s="7" t="s">
        <v>584</v>
      </c>
      <c r="C67" s="8" t="s">
        <v>475</v>
      </c>
      <c r="D67" s="19" t="s">
        <v>258</v>
      </c>
      <c r="E67" s="30" t="s">
        <v>31</v>
      </c>
      <c r="F67" s="31" t="s">
        <v>32</v>
      </c>
      <c r="G67" s="31" t="str">
        <f>_xlfn.IFNA(VLOOKUP(F67,'Look Table'!B$1:E$64,3,FALSE),"")</f>
        <v>AB</v>
      </c>
      <c r="H67" s="31" t="str">
        <f>_xlfn.IFNA(VLOOKUP(F67,'Look Table'!B$1:E$64,4,FALSE),"")</f>
        <v>CtrLogix</v>
      </c>
      <c r="I67" s="41" t="s">
        <v>463</v>
      </c>
      <c r="J67" s="31" t="str">
        <f t="shared" ref="J67:J130" si="1">_xlfn.TEXTJOIN("_",TRUE,B67:C67)</f>
        <v>LAR_WIL</v>
      </c>
      <c r="K67" s="3" t="str">
        <f>J67&amp;"_"&amp;E67&amp;IF(ISNUMBER(SEARCH("PAS",G67)),"","_")&amp;(_xlfn.TEXTJOIN("_",TRUE,IF(G67 &lt;&gt; "PAS",G67:H67,""))&amp;(IF(Table1[[#This Row],[Sub-Area]]&lt;&gt;"",_xlfn.CONCAT("_",Table1[[#This Row],[Sub-Area]]),"")))</f>
        <v>LAR_WIL_PLC_AB_CtrLogix_77PLC151</v>
      </c>
      <c r="L67" s="32" t="str">
        <f>IF(I67 &lt;&gt; "",I67&amp;":\PAS\CBR\ProcessedFiles\"&amp;Table1[[#This Row],[Units]]&amp;"\"&amp;Table1[[#This Row],[Asset Type]]&amp;"\"&amp;K67,"")</f>
        <v>D:\PAS\CBR\ProcessedFiles\WIL\PLC\LAR_WIL_PLC_AB_CtrLogix_77PLC151</v>
      </c>
      <c r="M67" s="33" t="str">
        <f>"MKDIR "&amp;Table1[[#This Row],[Suggested Folder Naming]]</f>
        <v>MKDIR D:\PAS\CBR\ProcessedFiles\WIL\PLC\LAR_WIL_PLC_AB_CtrLogix_77PLC151</v>
      </c>
    </row>
    <row r="68" spans="1:13" s="1" customFormat="1" x14ac:dyDescent="0.25">
      <c r="A68" s="21"/>
      <c r="B68" s="7" t="s">
        <v>584</v>
      </c>
      <c r="C68" s="8" t="s">
        <v>475</v>
      </c>
      <c r="D68" s="19" t="s">
        <v>259</v>
      </c>
      <c r="E68" s="30" t="s">
        <v>31</v>
      </c>
      <c r="F68" s="31" t="s">
        <v>32</v>
      </c>
      <c r="G68" s="31" t="str">
        <f>_xlfn.IFNA(VLOOKUP(F68,'Look Table'!B$1:E$64,3,FALSE),"")</f>
        <v>AB</v>
      </c>
      <c r="H68" s="31" t="str">
        <f>_xlfn.IFNA(VLOOKUP(F68,'Look Table'!B$1:E$64,4,FALSE),"")</f>
        <v>CtrLogix</v>
      </c>
      <c r="I68" s="41" t="s">
        <v>463</v>
      </c>
      <c r="J68" s="31" t="str">
        <f t="shared" si="1"/>
        <v>LAR_WIL</v>
      </c>
      <c r="K68" s="3" t="str">
        <f>J68&amp;"_"&amp;E68&amp;IF(ISNUMBER(SEARCH("PAS",G68)),"","_")&amp;(_xlfn.TEXTJOIN("_",TRUE,IF(G68 &lt;&gt; "PAS",G68:H68,""))&amp;(IF(Table1[[#This Row],[Sub-Area]]&lt;&gt;"",_xlfn.CONCAT("_",Table1[[#This Row],[Sub-Area]]),"")))</f>
        <v>LAR_WIL_PLC_AB_CtrLogix_77PLC152</v>
      </c>
      <c r="L68" s="32" t="str">
        <f>IF(I68 &lt;&gt; "",I68&amp;":\PAS\CBR\ProcessedFiles\"&amp;Table1[[#This Row],[Units]]&amp;"\"&amp;Table1[[#This Row],[Asset Type]]&amp;"\"&amp;K68,"")</f>
        <v>D:\PAS\CBR\ProcessedFiles\WIL\PLC\LAR_WIL_PLC_AB_CtrLogix_77PLC152</v>
      </c>
      <c r="M68" s="33" t="str">
        <f>"MKDIR "&amp;Table1[[#This Row],[Suggested Folder Naming]]</f>
        <v>MKDIR D:\PAS\CBR\ProcessedFiles\WIL\PLC\LAR_WIL_PLC_AB_CtrLogix_77PLC152</v>
      </c>
    </row>
    <row r="69" spans="1:13" s="1" customFormat="1" x14ac:dyDescent="0.25">
      <c r="A69" s="21"/>
      <c r="B69" s="7" t="s">
        <v>584</v>
      </c>
      <c r="C69" s="8" t="s">
        <v>475</v>
      </c>
      <c r="D69" s="19" t="s">
        <v>260</v>
      </c>
      <c r="E69" s="30" t="s">
        <v>31</v>
      </c>
      <c r="F69" s="31" t="s">
        <v>32</v>
      </c>
      <c r="G69" s="31" t="str">
        <f>_xlfn.IFNA(VLOOKUP(F69,'Look Table'!B$1:E$64,3,FALSE),"")</f>
        <v>AB</v>
      </c>
      <c r="H69" s="31" t="str">
        <f>_xlfn.IFNA(VLOOKUP(F69,'Look Table'!B$1:E$64,4,FALSE),"")</f>
        <v>CtrLogix</v>
      </c>
      <c r="I69" s="41" t="s">
        <v>463</v>
      </c>
      <c r="J69" s="31" t="str">
        <f t="shared" si="1"/>
        <v>LAR_WIL</v>
      </c>
      <c r="K69" s="3" t="str">
        <f>J69&amp;"_"&amp;E69&amp;IF(ISNUMBER(SEARCH("PAS",G69)),"","_")&amp;(_xlfn.TEXTJOIN("_",TRUE,IF(G69 &lt;&gt; "PAS",G69:H69,""))&amp;(IF(Table1[[#This Row],[Sub-Area]]&lt;&gt;"",_xlfn.CONCAT("_",Table1[[#This Row],[Sub-Area]]),"")))</f>
        <v>LAR_WIL_PLC_AB_CtrLogix_79PLC102</v>
      </c>
      <c r="L69" s="32" t="str">
        <f>IF(I69 &lt;&gt; "",I69&amp;":\PAS\CBR\ProcessedFiles\"&amp;Table1[[#This Row],[Units]]&amp;"\"&amp;Table1[[#This Row],[Asset Type]]&amp;"\"&amp;K69,"")</f>
        <v>D:\PAS\CBR\ProcessedFiles\WIL\PLC\LAR_WIL_PLC_AB_CtrLogix_79PLC102</v>
      </c>
      <c r="M69" s="33" t="str">
        <f>"MKDIR "&amp;Table1[[#This Row],[Suggested Folder Naming]]</f>
        <v>MKDIR D:\PAS\CBR\ProcessedFiles\WIL\PLC\LAR_WIL_PLC_AB_CtrLogix_79PLC102</v>
      </c>
    </row>
    <row r="70" spans="1:13" s="1" customFormat="1" x14ac:dyDescent="0.25">
      <c r="A70" s="21"/>
      <c r="B70" s="7" t="s">
        <v>584</v>
      </c>
      <c r="C70" s="8" t="s">
        <v>475</v>
      </c>
      <c r="D70" s="19" t="s">
        <v>261</v>
      </c>
      <c r="E70" s="30" t="s">
        <v>31</v>
      </c>
      <c r="F70" s="31" t="s">
        <v>32</v>
      </c>
      <c r="G70" s="31" t="str">
        <f>_xlfn.IFNA(VLOOKUP(F70,'Look Table'!B$1:E$64,3,FALSE),"")</f>
        <v>AB</v>
      </c>
      <c r="H70" s="31" t="str">
        <f>_xlfn.IFNA(VLOOKUP(F70,'Look Table'!B$1:E$64,4,FALSE),"")</f>
        <v>CtrLogix</v>
      </c>
      <c r="I70" s="41" t="s">
        <v>463</v>
      </c>
      <c r="J70" s="31" t="str">
        <f t="shared" si="1"/>
        <v>LAR_WIL</v>
      </c>
      <c r="K70" s="3" t="str">
        <f>J70&amp;"_"&amp;E70&amp;IF(ISNUMBER(SEARCH("PAS",G70)),"","_")&amp;(_xlfn.TEXTJOIN("_",TRUE,IF(G70 &lt;&gt; "PAS",G70:H70,""))&amp;(IF(Table1[[#This Row],[Sub-Area]]&lt;&gt;"",_xlfn.CONCAT("_",Table1[[#This Row],[Sub-Area]]),"")))</f>
        <v>LAR_WIL_PLC_AB_CtrLogix_79PLC104</v>
      </c>
      <c r="L70" s="32" t="str">
        <f>IF(I70 &lt;&gt; "",I70&amp;":\PAS\CBR\ProcessedFiles\"&amp;Table1[[#This Row],[Units]]&amp;"\"&amp;Table1[[#This Row],[Asset Type]]&amp;"\"&amp;K70,"")</f>
        <v>D:\PAS\CBR\ProcessedFiles\WIL\PLC\LAR_WIL_PLC_AB_CtrLogix_79PLC104</v>
      </c>
      <c r="M70" s="33" t="str">
        <f>"MKDIR "&amp;Table1[[#This Row],[Suggested Folder Naming]]</f>
        <v>MKDIR D:\PAS\CBR\ProcessedFiles\WIL\PLC\LAR_WIL_PLC_AB_CtrLogix_79PLC104</v>
      </c>
    </row>
    <row r="71" spans="1:13" s="1" customFormat="1" x14ac:dyDescent="0.25">
      <c r="A71" s="21"/>
      <c r="B71" s="7" t="s">
        <v>584</v>
      </c>
      <c r="C71" s="8" t="s">
        <v>475</v>
      </c>
      <c r="D71" s="19" t="s">
        <v>485</v>
      </c>
      <c r="E71" s="30" t="s">
        <v>31</v>
      </c>
      <c r="F71" s="31" t="s">
        <v>32</v>
      </c>
      <c r="G71" s="31" t="str">
        <f>_xlfn.IFNA(VLOOKUP(F71,'[1]Look Table'!B$1:E$75,3,FALSE),"")</f>
        <v>AB</v>
      </c>
      <c r="H71" s="31" t="str">
        <f>_xlfn.IFNA(VLOOKUP(F71,'[1]Look Table'!B$1:E$75,4,FALSE),"")</f>
        <v>CtrLogix</v>
      </c>
      <c r="I71" s="41" t="s">
        <v>463</v>
      </c>
      <c r="J71" s="31" t="str">
        <f t="shared" si="1"/>
        <v>LAR_WIL</v>
      </c>
      <c r="K71" s="3" t="str">
        <f>J71&amp;"_"&amp;E71&amp;IF(ISNUMBER(SEARCH("PAS",G71)),"","_")&amp;(_xlfn.TEXTJOIN("_",TRUE,IF(G71 &lt;&gt; "PAS",G71:H71,""))&amp;(IF(Table1[[#This Row],[Sub-Area]]&lt;&gt;"",_xlfn.CONCAT("_",Table1[[#This Row],[Sub-Area]]),"")))</f>
        <v>LAR_WIL_PLC_AB_CtrLogix_ANLZ_05PLC_9355</v>
      </c>
      <c r="L71" s="32" t="str">
        <f>IF(I71 &lt;&gt; "",I71&amp;":\PAS\CBR\ProcessedFiles\"&amp;Table1[[#This Row],[Units]]&amp;"\"&amp;Table1[[#This Row],[Asset Type]]&amp;"\"&amp;K71,"")</f>
        <v>D:\PAS\CBR\ProcessedFiles\WIL\PLC\LAR_WIL_PLC_AB_CtrLogix_ANLZ_05PLC_9355</v>
      </c>
      <c r="M71" s="1" t="str">
        <f>"MKDIR "&amp;Table1[[#This Row],[Suggested Folder Naming]]</f>
        <v>MKDIR D:\PAS\CBR\ProcessedFiles\WIL\PLC\LAR_WIL_PLC_AB_CtrLogix_ANLZ_05PLC_9355</v>
      </c>
    </row>
    <row r="72" spans="1:13" s="1" customFormat="1" x14ac:dyDescent="0.25">
      <c r="A72" s="21"/>
      <c r="B72" s="7" t="s">
        <v>584</v>
      </c>
      <c r="C72" s="8" t="s">
        <v>475</v>
      </c>
      <c r="D72" s="19" t="s">
        <v>493</v>
      </c>
      <c r="E72" s="30" t="s">
        <v>31</v>
      </c>
      <c r="F72" s="31" t="s">
        <v>32</v>
      </c>
      <c r="G72" s="31" t="str">
        <f>_xlfn.IFNA(VLOOKUP(F72,'[1]Look Table'!B$1:E$75,3,FALSE),"")</f>
        <v>AB</v>
      </c>
      <c r="H72" s="31" t="str">
        <f>_xlfn.IFNA(VLOOKUP(F72,'[1]Look Table'!B$1:E$75,4,FALSE),"")</f>
        <v>CtrLogix</v>
      </c>
      <c r="I72" s="41" t="s">
        <v>463</v>
      </c>
      <c r="J72" s="31" t="str">
        <f t="shared" si="1"/>
        <v>LAR_WIL</v>
      </c>
      <c r="K72" s="3" t="str">
        <f>J72&amp;"_"&amp;E72&amp;IF(ISNUMBER(SEARCH("PAS",G72)),"","_")&amp;(_xlfn.TEXTJOIN("_",TRUE,IF(G72 &lt;&gt; "PAS",G72:H72,""))&amp;(IF(Table1[[#This Row],[Sub-Area]]&lt;&gt;"",_xlfn.CONCAT("_",Table1[[#This Row],[Sub-Area]]),"")))</f>
        <v>LAR_WIL_PLC_AB_CtrLogix_ANLZ_21PLC_9332</v>
      </c>
      <c r="L72" s="32" t="str">
        <f>IF(I72 &lt;&gt; "",I72&amp;":\PAS\CBR\ProcessedFiles\"&amp;Table1[[#This Row],[Units]]&amp;"\"&amp;Table1[[#This Row],[Asset Type]]&amp;"\"&amp;K72,"")</f>
        <v>D:\PAS\CBR\ProcessedFiles\WIL\PLC\LAR_WIL_PLC_AB_CtrLogix_ANLZ_21PLC_9332</v>
      </c>
      <c r="M72" s="1" t="str">
        <f>"MKDIR "&amp;Table1[[#This Row],[Suggested Folder Naming]]</f>
        <v>MKDIR D:\PAS\CBR\ProcessedFiles\WIL\PLC\LAR_WIL_PLC_AB_CtrLogix_ANLZ_21PLC_9332</v>
      </c>
    </row>
    <row r="73" spans="1:13" s="1" customFormat="1" x14ac:dyDescent="0.25">
      <c r="A73" s="21"/>
      <c r="B73" s="7" t="s">
        <v>584</v>
      </c>
      <c r="C73" s="8" t="s">
        <v>475</v>
      </c>
      <c r="D73" s="19" t="s">
        <v>494</v>
      </c>
      <c r="E73" s="30" t="s">
        <v>31</v>
      </c>
      <c r="F73" s="31" t="s">
        <v>32</v>
      </c>
      <c r="G73" s="31" t="str">
        <f>_xlfn.IFNA(VLOOKUP(F73,'[1]Look Table'!B$1:E$75,3,FALSE),"")</f>
        <v>AB</v>
      </c>
      <c r="H73" s="31" t="str">
        <f>_xlfn.IFNA(VLOOKUP(F73,'[1]Look Table'!B$1:E$75,4,FALSE),"")</f>
        <v>CtrLogix</v>
      </c>
      <c r="I73" s="41" t="s">
        <v>463</v>
      </c>
      <c r="J73" s="31" t="str">
        <f t="shared" si="1"/>
        <v>LAR_WIL</v>
      </c>
      <c r="K73" s="3" t="str">
        <f>J73&amp;"_"&amp;E73&amp;IF(ISNUMBER(SEARCH("PAS",G73)),"","_")&amp;(_xlfn.TEXTJOIN("_",TRUE,IF(G73 &lt;&gt; "PAS",G73:H73,""))&amp;(IF(Table1[[#This Row],[Sub-Area]]&lt;&gt;"",_xlfn.CONCAT("_",Table1[[#This Row],[Sub-Area]]),"")))</f>
        <v>LAR_WIL_PLC_AB_CtrLogix_ANLZ_21PLC_9333</v>
      </c>
      <c r="L73" s="32" t="str">
        <f>IF(I73 &lt;&gt; "",I73&amp;":\PAS\CBR\ProcessedFiles\"&amp;Table1[[#This Row],[Units]]&amp;"\"&amp;Table1[[#This Row],[Asset Type]]&amp;"\"&amp;K73,"")</f>
        <v>D:\PAS\CBR\ProcessedFiles\WIL\PLC\LAR_WIL_PLC_AB_CtrLogix_ANLZ_21PLC_9333</v>
      </c>
      <c r="M73" s="1" t="str">
        <f>"MKDIR "&amp;Table1[[#This Row],[Suggested Folder Naming]]</f>
        <v>MKDIR D:\PAS\CBR\ProcessedFiles\WIL\PLC\LAR_WIL_PLC_AB_CtrLogix_ANLZ_21PLC_9333</v>
      </c>
    </row>
    <row r="74" spans="1:13" s="1" customFormat="1" x14ac:dyDescent="0.25">
      <c r="A74" s="21"/>
      <c r="B74" s="7" t="s">
        <v>584</v>
      </c>
      <c r="C74" s="8" t="s">
        <v>475</v>
      </c>
      <c r="D74" s="19" t="s">
        <v>495</v>
      </c>
      <c r="E74" s="30" t="s">
        <v>31</v>
      </c>
      <c r="F74" s="31" t="s">
        <v>32</v>
      </c>
      <c r="G74" s="31" t="str">
        <f>_xlfn.IFNA(VLOOKUP(F74,'[1]Look Table'!B$1:E$75,3,FALSE),"")</f>
        <v>AB</v>
      </c>
      <c r="H74" s="31" t="str">
        <f>_xlfn.IFNA(VLOOKUP(F74,'[1]Look Table'!B$1:E$75,4,FALSE),"")</f>
        <v>CtrLogix</v>
      </c>
      <c r="I74" s="41" t="s">
        <v>463</v>
      </c>
      <c r="J74" s="31" t="str">
        <f t="shared" si="1"/>
        <v>LAR_WIL</v>
      </c>
      <c r="K74" s="3" t="str">
        <f>J74&amp;"_"&amp;E74&amp;IF(ISNUMBER(SEARCH("PAS",G74)),"","_")&amp;(_xlfn.TEXTJOIN("_",TRUE,IF(G74 &lt;&gt; "PAS",G74:H74,""))&amp;(IF(Table1[[#This Row],[Sub-Area]]&lt;&gt;"",_xlfn.CONCAT("_",Table1[[#This Row],[Sub-Area]]),"")))</f>
        <v>LAR_WIL_PLC_AB_CtrLogix_ANLZ_21PLC_9334</v>
      </c>
      <c r="L74" s="32" t="str">
        <f>IF(I74 &lt;&gt; "",I74&amp;":\PAS\CBR\ProcessedFiles\"&amp;Table1[[#This Row],[Units]]&amp;"\"&amp;Table1[[#This Row],[Asset Type]]&amp;"\"&amp;K74,"")</f>
        <v>D:\PAS\CBR\ProcessedFiles\WIL\PLC\LAR_WIL_PLC_AB_CtrLogix_ANLZ_21PLC_9334</v>
      </c>
      <c r="M74" s="1" t="str">
        <f>"MKDIR "&amp;Table1[[#This Row],[Suggested Folder Naming]]</f>
        <v>MKDIR D:\PAS\CBR\ProcessedFiles\WIL\PLC\LAR_WIL_PLC_AB_CtrLogix_ANLZ_21PLC_9334</v>
      </c>
    </row>
    <row r="75" spans="1:13" s="1" customFormat="1" x14ac:dyDescent="0.25">
      <c r="A75" s="21"/>
      <c r="B75" s="7" t="s">
        <v>584</v>
      </c>
      <c r="C75" s="8" t="s">
        <v>475</v>
      </c>
      <c r="D75" s="19" t="s">
        <v>496</v>
      </c>
      <c r="E75" s="30" t="s">
        <v>31</v>
      </c>
      <c r="F75" s="31" t="s">
        <v>32</v>
      </c>
      <c r="G75" s="31" t="str">
        <f>_xlfn.IFNA(VLOOKUP(F75,'[1]Look Table'!B$1:E$75,3,FALSE),"")</f>
        <v>AB</v>
      </c>
      <c r="H75" s="31" t="str">
        <f>_xlfn.IFNA(VLOOKUP(F75,'[1]Look Table'!B$1:E$75,4,FALSE),"")</f>
        <v>CtrLogix</v>
      </c>
      <c r="I75" s="41" t="s">
        <v>463</v>
      </c>
      <c r="J75" s="31" t="str">
        <f t="shared" si="1"/>
        <v>LAR_WIL</v>
      </c>
      <c r="K75" s="3" t="str">
        <f>J75&amp;"_"&amp;E75&amp;IF(ISNUMBER(SEARCH("PAS",G75)),"","_")&amp;(_xlfn.TEXTJOIN("_",TRUE,IF(G75 &lt;&gt; "PAS",G75:H75,""))&amp;(IF(Table1[[#This Row],[Sub-Area]]&lt;&gt;"",_xlfn.CONCAT("_",Table1[[#This Row],[Sub-Area]]),"")))</f>
        <v>LAR_WIL_PLC_AB_CtrLogix_ANLZ_22PLC_0036</v>
      </c>
      <c r="L75" s="32" t="str">
        <f>IF(I75 &lt;&gt; "",I75&amp;":\PAS\CBR\ProcessedFiles\"&amp;Table1[[#This Row],[Units]]&amp;"\"&amp;Table1[[#This Row],[Asset Type]]&amp;"\"&amp;K75,"")</f>
        <v>D:\PAS\CBR\ProcessedFiles\WIL\PLC\LAR_WIL_PLC_AB_CtrLogix_ANLZ_22PLC_0036</v>
      </c>
      <c r="M75" s="1" t="str">
        <f>"MKDIR "&amp;Table1[[#This Row],[Suggested Folder Naming]]</f>
        <v>MKDIR D:\PAS\CBR\ProcessedFiles\WIL\PLC\LAR_WIL_PLC_AB_CtrLogix_ANLZ_22PLC_0036</v>
      </c>
    </row>
    <row r="76" spans="1:13" s="1" customFormat="1" x14ac:dyDescent="0.25">
      <c r="A76" s="21"/>
      <c r="B76" s="7" t="s">
        <v>584</v>
      </c>
      <c r="C76" s="8" t="s">
        <v>475</v>
      </c>
      <c r="D76" s="19" t="s">
        <v>497</v>
      </c>
      <c r="E76" s="30" t="s">
        <v>31</v>
      </c>
      <c r="F76" s="31" t="s">
        <v>32</v>
      </c>
      <c r="G76" s="31" t="str">
        <f>_xlfn.IFNA(VLOOKUP(F76,'[1]Look Table'!B$1:E$75,3,FALSE),"")</f>
        <v>AB</v>
      </c>
      <c r="H76" s="31" t="str">
        <f>_xlfn.IFNA(VLOOKUP(F76,'[1]Look Table'!B$1:E$75,4,FALSE),"")</f>
        <v>CtrLogix</v>
      </c>
      <c r="I76" s="41" t="s">
        <v>463</v>
      </c>
      <c r="J76" s="31" t="str">
        <f t="shared" si="1"/>
        <v>LAR_WIL</v>
      </c>
      <c r="K76" s="3" t="str">
        <f>J76&amp;"_"&amp;E76&amp;IF(ISNUMBER(SEARCH("PAS",G76)),"","_")&amp;(_xlfn.TEXTJOIN("_",TRUE,IF(G76 &lt;&gt; "PAS",G76:H76,""))&amp;(IF(Table1[[#This Row],[Sub-Area]]&lt;&gt;"",_xlfn.CONCAT("_",Table1[[#This Row],[Sub-Area]]),"")))</f>
        <v>LAR_WIL_PLC_AB_CtrLogix_ANLZ_22PLC_0037</v>
      </c>
      <c r="L76" s="32" t="str">
        <f>IF(I76 &lt;&gt; "",I76&amp;":\PAS\CBR\ProcessedFiles\"&amp;Table1[[#This Row],[Units]]&amp;"\"&amp;Table1[[#This Row],[Asset Type]]&amp;"\"&amp;K76,"")</f>
        <v>D:\PAS\CBR\ProcessedFiles\WIL\PLC\LAR_WIL_PLC_AB_CtrLogix_ANLZ_22PLC_0037</v>
      </c>
      <c r="M76" s="1" t="str">
        <f>"MKDIR "&amp;Table1[[#This Row],[Suggested Folder Naming]]</f>
        <v>MKDIR D:\PAS\CBR\ProcessedFiles\WIL\PLC\LAR_WIL_PLC_AB_CtrLogix_ANLZ_22PLC_0037</v>
      </c>
    </row>
    <row r="77" spans="1:13" s="1" customFormat="1" x14ac:dyDescent="0.25">
      <c r="A77" s="21"/>
      <c r="B77" s="7" t="s">
        <v>584</v>
      </c>
      <c r="C77" s="8" t="s">
        <v>475</v>
      </c>
      <c r="D77" s="19" t="s">
        <v>505</v>
      </c>
      <c r="E77" s="30" t="s">
        <v>31</v>
      </c>
      <c r="F77" s="31" t="s">
        <v>32</v>
      </c>
      <c r="G77" s="31" t="str">
        <f>_xlfn.IFNA(VLOOKUP(F77,'[1]Look Table'!B$1:E$75,3,FALSE),"")</f>
        <v>AB</v>
      </c>
      <c r="H77" s="31" t="str">
        <f>_xlfn.IFNA(VLOOKUP(F77,'[1]Look Table'!B$1:E$75,4,FALSE),"")</f>
        <v>CtrLogix</v>
      </c>
      <c r="I77" s="41" t="s">
        <v>463</v>
      </c>
      <c r="J77" s="31" t="str">
        <f t="shared" si="1"/>
        <v>LAR_WIL</v>
      </c>
      <c r="K77" s="3" t="str">
        <f>J77&amp;"_"&amp;E77&amp;IF(ISNUMBER(SEARCH("PAS",G77)),"","_")&amp;(_xlfn.TEXTJOIN("_",TRUE,IF(G77 &lt;&gt; "PAS",G77:H77,""))&amp;(IF(Table1[[#This Row],[Sub-Area]]&lt;&gt;"",_xlfn.CONCAT("_",Table1[[#This Row],[Sub-Area]]),"")))</f>
        <v>LAR_WIL_PLC_AB_CtrLogix_ANLZ_31PLC_9533</v>
      </c>
      <c r="L77" s="32" t="str">
        <f>IF(I77 &lt;&gt; "",I77&amp;":\PAS\CBR\ProcessedFiles\"&amp;Table1[[#This Row],[Units]]&amp;"\"&amp;Table1[[#This Row],[Asset Type]]&amp;"\"&amp;K77,"")</f>
        <v>D:\PAS\CBR\ProcessedFiles\WIL\PLC\LAR_WIL_PLC_AB_CtrLogix_ANLZ_31PLC_9533</v>
      </c>
      <c r="M77" s="1" t="str">
        <f>"MKDIR "&amp;Table1[[#This Row],[Suggested Folder Naming]]</f>
        <v>MKDIR D:\PAS\CBR\ProcessedFiles\WIL\PLC\LAR_WIL_PLC_AB_CtrLogix_ANLZ_31PLC_9533</v>
      </c>
    </row>
    <row r="78" spans="1:13" s="1" customFormat="1" x14ac:dyDescent="0.25">
      <c r="A78" s="21"/>
      <c r="B78" s="7" t="s">
        <v>584</v>
      </c>
      <c r="C78" s="8" t="s">
        <v>475</v>
      </c>
      <c r="D78" s="19" t="s">
        <v>532</v>
      </c>
      <c r="E78" s="30" t="s">
        <v>31</v>
      </c>
      <c r="F78" s="31" t="s">
        <v>32</v>
      </c>
      <c r="G78" s="31" t="str">
        <f>_xlfn.IFNA(VLOOKUP(F78,'[1]Look Table'!B$1:E$75,3,FALSE),"")</f>
        <v>AB</v>
      </c>
      <c r="H78" s="31" t="str">
        <f>_xlfn.IFNA(VLOOKUP(F78,'[1]Look Table'!B$1:E$75,4,FALSE),"")</f>
        <v>CtrLogix</v>
      </c>
      <c r="I78" s="41" t="s">
        <v>463</v>
      </c>
      <c r="J78" s="31" t="str">
        <f t="shared" si="1"/>
        <v>LAR_WIL</v>
      </c>
      <c r="K78" s="3" t="str">
        <f>J78&amp;"_"&amp;E78&amp;IF(ISNUMBER(SEARCH("PAS",G78)),"","_")&amp;(_xlfn.TEXTJOIN("_",TRUE,IF(G78 &lt;&gt; "PAS",G78:H78,""))&amp;(IF(Table1[[#This Row],[Sub-Area]]&lt;&gt;"",_xlfn.CONCAT("_",Table1[[#This Row],[Sub-Area]]),"")))</f>
        <v>LAR_WIL_PLC_AB_CtrLogix_ANLZ_84PLC_9356</v>
      </c>
      <c r="L78" s="32" t="str">
        <f>IF(I78 &lt;&gt; "",I78&amp;":\PAS\CBR\ProcessedFiles\"&amp;Table1[[#This Row],[Units]]&amp;"\"&amp;Table1[[#This Row],[Asset Type]]&amp;"\"&amp;K78,"")</f>
        <v>D:\PAS\CBR\ProcessedFiles\WIL\PLC\LAR_WIL_PLC_AB_CtrLogix_ANLZ_84PLC_9356</v>
      </c>
      <c r="M78" s="1" t="str">
        <f>"MKDIR "&amp;Table1[[#This Row],[Suggested Folder Naming]]</f>
        <v>MKDIR D:\PAS\CBR\ProcessedFiles\WIL\PLC\LAR_WIL_PLC_AB_CtrLogix_ANLZ_84PLC_9356</v>
      </c>
    </row>
    <row r="79" spans="1:13" s="1" customFormat="1" x14ac:dyDescent="0.25">
      <c r="A79" s="21"/>
      <c r="B79" s="7" t="s">
        <v>584</v>
      </c>
      <c r="C79" s="8" t="s">
        <v>475</v>
      </c>
      <c r="D79" s="19" t="s">
        <v>533</v>
      </c>
      <c r="E79" s="30" t="s">
        <v>31</v>
      </c>
      <c r="F79" s="31" t="s">
        <v>32</v>
      </c>
      <c r="G79" s="31" t="str">
        <f>_xlfn.IFNA(VLOOKUP(F79,'[1]Look Table'!B$1:E$75,3,FALSE),"")</f>
        <v>AB</v>
      </c>
      <c r="H79" s="31" t="str">
        <f>_xlfn.IFNA(VLOOKUP(F79,'[1]Look Table'!B$1:E$75,4,FALSE),"")</f>
        <v>CtrLogix</v>
      </c>
      <c r="I79" s="41" t="s">
        <v>463</v>
      </c>
      <c r="J79" s="31" t="str">
        <f t="shared" si="1"/>
        <v>LAR_WIL</v>
      </c>
      <c r="K79" s="3" t="str">
        <f>J79&amp;"_"&amp;E79&amp;IF(ISNUMBER(SEARCH("PAS",G79)),"","_")&amp;(_xlfn.TEXTJOIN("_",TRUE,IF(G79 &lt;&gt; "PAS",G79:H79,""))&amp;(IF(Table1[[#This Row],[Sub-Area]]&lt;&gt;"",_xlfn.CONCAT("_",Table1[[#This Row],[Sub-Area]]),"")))</f>
        <v>LAR_WIL_PLC_AB_CtrLogix_ANLZ_B_1601_CEMS</v>
      </c>
      <c r="L79" s="32" t="str">
        <f>IF(I79 &lt;&gt; "",I79&amp;":\PAS\CBR\ProcessedFiles\"&amp;Table1[[#This Row],[Units]]&amp;"\"&amp;Table1[[#This Row],[Asset Type]]&amp;"\"&amp;K79,"")</f>
        <v>D:\PAS\CBR\ProcessedFiles\WIL\PLC\LAR_WIL_PLC_AB_CtrLogix_ANLZ_B_1601_CEMS</v>
      </c>
      <c r="M79" s="1" t="str">
        <f>"MKDIR "&amp;Table1[[#This Row],[Suggested Folder Naming]]</f>
        <v>MKDIR D:\PAS\CBR\ProcessedFiles\WIL\PLC\LAR_WIL_PLC_AB_CtrLogix_ANLZ_B_1601_CEMS</v>
      </c>
    </row>
    <row r="80" spans="1:13" s="1" customFormat="1" x14ac:dyDescent="0.25">
      <c r="A80" s="21"/>
      <c r="B80" s="7" t="s">
        <v>584</v>
      </c>
      <c r="C80" s="8" t="s">
        <v>475</v>
      </c>
      <c r="D80" s="19" t="s">
        <v>535</v>
      </c>
      <c r="E80" s="30" t="s">
        <v>31</v>
      </c>
      <c r="F80" s="31" t="s">
        <v>32</v>
      </c>
      <c r="G80" s="31" t="str">
        <f>_xlfn.IFNA(VLOOKUP(F80,'[1]Look Table'!B$1:E$75,3,FALSE),"")</f>
        <v>AB</v>
      </c>
      <c r="H80" s="31" t="str">
        <f>_xlfn.IFNA(VLOOKUP(F80,'[1]Look Table'!B$1:E$75,4,FALSE),"")</f>
        <v>CtrLogix</v>
      </c>
      <c r="I80" s="41" t="s">
        <v>463</v>
      </c>
      <c r="J80" s="31" t="str">
        <f t="shared" si="1"/>
        <v>LAR_WIL</v>
      </c>
      <c r="K80" s="3" t="str">
        <f>J80&amp;"_"&amp;E80&amp;IF(ISNUMBER(SEARCH("PAS",G80)),"","_")&amp;(_xlfn.TEXTJOIN("_",TRUE,IF(G80 &lt;&gt; "PAS",G80:H80,""))&amp;(IF(Table1[[#This Row],[Sub-Area]]&lt;&gt;"",_xlfn.CONCAT("_",Table1[[#This Row],[Sub-Area]]),"")))</f>
        <v>LAR_WIL_PLC_AB_CtrLogix_ANLZ_Blender_Analyzers</v>
      </c>
      <c r="L80" s="32" t="str">
        <f>IF(I80 &lt;&gt; "",I80&amp;":\PAS\CBR\ProcessedFiles\"&amp;Table1[[#This Row],[Units]]&amp;"\"&amp;Table1[[#This Row],[Asset Type]]&amp;"\"&amp;K80,"")</f>
        <v>D:\PAS\CBR\ProcessedFiles\WIL\PLC\LAR_WIL_PLC_AB_CtrLogix_ANLZ_Blender_Analyzers</v>
      </c>
      <c r="M80" s="1" t="str">
        <f>"MKDIR "&amp;Table1[[#This Row],[Suggested Folder Naming]]</f>
        <v>MKDIR D:\PAS\CBR\ProcessedFiles\WIL\PLC\LAR_WIL_PLC_AB_CtrLogix_ANLZ_Blender_Analyzers</v>
      </c>
    </row>
    <row r="81" spans="1:13" s="1" customFormat="1" x14ac:dyDescent="0.25">
      <c r="A81" s="21"/>
      <c r="B81" s="7" t="s">
        <v>584</v>
      </c>
      <c r="C81" s="8" t="s">
        <v>475</v>
      </c>
      <c r="D81" s="19" t="s">
        <v>536</v>
      </c>
      <c r="E81" s="30" t="s">
        <v>31</v>
      </c>
      <c r="F81" s="31" t="s">
        <v>32</v>
      </c>
      <c r="G81" s="31" t="str">
        <f>_xlfn.IFNA(VLOOKUP(F81,'[1]Look Table'!B$1:E$75,3,FALSE),"")</f>
        <v>AB</v>
      </c>
      <c r="H81" s="31" t="str">
        <f>_xlfn.IFNA(VLOOKUP(F81,'[1]Look Table'!B$1:E$75,4,FALSE),"")</f>
        <v>CtrLogix</v>
      </c>
      <c r="I81" s="41" t="s">
        <v>463</v>
      </c>
      <c r="J81" s="31" t="str">
        <f t="shared" si="1"/>
        <v>LAR_WIL</v>
      </c>
      <c r="K81" s="3" t="str">
        <f>J81&amp;"_"&amp;E81&amp;IF(ISNUMBER(SEARCH("PAS",G81)),"","_")&amp;(_xlfn.TEXTJOIN("_",TRUE,IF(G81 &lt;&gt; "PAS",G81:H81,""))&amp;(IF(Table1[[#This Row],[Sub-Area]]&lt;&gt;"",_xlfn.CONCAT("_",Table1[[#This Row],[Sub-Area]]),"")))</f>
        <v>LAR_WIL_PLC_AB_CtrLogix_ANLZ_Blender_data_conc</v>
      </c>
      <c r="L81" s="32" t="str">
        <f>IF(I81 &lt;&gt; "",I81&amp;":\PAS\CBR\ProcessedFiles\"&amp;Table1[[#This Row],[Units]]&amp;"\"&amp;Table1[[#This Row],[Asset Type]]&amp;"\"&amp;K81,"")</f>
        <v>D:\PAS\CBR\ProcessedFiles\WIL\PLC\LAR_WIL_PLC_AB_CtrLogix_ANLZ_Blender_data_conc</v>
      </c>
      <c r="M81" s="1" t="str">
        <f>"MKDIR "&amp;Table1[[#This Row],[Suggested Folder Naming]]</f>
        <v>MKDIR D:\PAS\CBR\ProcessedFiles\WIL\PLC\LAR_WIL_PLC_AB_CtrLogix_ANLZ_Blender_data_conc</v>
      </c>
    </row>
    <row r="82" spans="1:13" s="1" customFormat="1" x14ac:dyDescent="0.25">
      <c r="A82" s="21"/>
      <c r="B82" s="7" t="s">
        <v>584</v>
      </c>
      <c r="C82" s="8" t="s">
        <v>475</v>
      </c>
      <c r="D82" s="19" t="s">
        <v>552</v>
      </c>
      <c r="E82" s="30" t="s">
        <v>31</v>
      </c>
      <c r="F82" s="31" t="s">
        <v>32</v>
      </c>
      <c r="G82" s="31" t="str">
        <f>_xlfn.IFNA(VLOOKUP(F82,'[1]Look Table'!B$1:E$75,3,FALSE),"")</f>
        <v>AB</v>
      </c>
      <c r="H82" s="31" t="str">
        <f>_xlfn.IFNA(VLOOKUP(F82,'[1]Look Table'!B$1:E$75,4,FALSE),"")</f>
        <v>CtrLogix</v>
      </c>
      <c r="I82" s="41" t="s">
        <v>463</v>
      </c>
      <c r="J82" s="31" t="str">
        <f t="shared" si="1"/>
        <v>LAR_WIL</v>
      </c>
      <c r="K82" s="3" t="str">
        <f>J82&amp;"_"&amp;E82&amp;IF(ISNUMBER(SEARCH("PAS",G82)),"","_")&amp;(_xlfn.TEXTJOIN("_",TRUE,IF(G82 &lt;&gt; "PAS",G82:H82,""))&amp;(IF(Table1[[#This Row],[Sub-Area]]&lt;&gt;"",_xlfn.CONCAT("_",Table1[[#This Row],[Sub-Area]]),"")))</f>
        <v>LAR_WIL_PLC_AB_CtrLogix_ANLZ_H_1_CEMS</v>
      </c>
      <c r="L82" s="32" t="str">
        <f>IF(I82 &lt;&gt; "",I82&amp;":\PAS\CBR\ProcessedFiles\"&amp;Table1[[#This Row],[Units]]&amp;"\"&amp;Table1[[#This Row],[Asset Type]]&amp;"\"&amp;K82,"")</f>
        <v>D:\PAS\CBR\ProcessedFiles\WIL\PLC\LAR_WIL_PLC_AB_CtrLogix_ANLZ_H_1_CEMS</v>
      </c>
      <c r="M82" s="1" t="str">
        <f>"MKDIR "&amp;Table1[[#This Row],[Suggested Folder Naming]]</f>
        <v>MKDIR D:\PAS\CBR\ProcessedFiles\WIL\PLC\LAR_WIL_PLC_AB_CtrLogix_ANLZ_H_1_CEMS</v>
      </c>
    </row>
    <row r="83" spans="1:13" s="1" customFormat="1" x14ac:dyDescent="0.25">
      <c r="A83" s="21"/>
      <c r="B83" s="7" t="s">
        <v>584</v>
      </c>
      <c r="C83" s="8" t="s">
        <v>475</v>
      </c>
      <c r="D83" s="19" t="s">
        <v>553</v>
      </c>
      <c r="E83" s="30" t="s">
        <v>31</v>
      </c>
      <c r="F83" s="31" t="s">
        <v>32</v>
      </c>
      <c r="G83" s="31" t="str">
        <f>_xlfn.IFNA(VLOOKUP(F83,'[1]Look Table'!B$1:E$75,3,FALSE),"")</f>
        <v>AB</v>
      </c>
      <c r="H83" s="31" t="str">
        <f>_xlfn.IFNA(VLOOKUP(F83,'[1]Look Table'!B$1:E$75,4,FALSE),"")</f>
        <v>CtrLogix</v>
      </c>
      <c r="I83" s="41" t="s">
        <v>463</v>
      </c>
      <c r="J83" s="31" t="str">
        <f t="shared" si="1"/>
        <v>LAR_WIL</v>
      </c>
      <c r="K83" s="3" t="str">
        <f>J83&amp;"_"&amp;E83&amp;IF(ISNUMBER(SEARCH("PAS",G83)),"","_")&amp;(_xlfn.TEXTJOIN("_",TRUE,IF(G83 &lt;&gt; "PAS",G83:H83,""))&amp;(IF(Table1[[#This Row],[Sub-Area]]&lt;&gt;"",_xlfn.CONCAT("_",Table1[[#This Row],[Sub-Area]]),"")))</f>
        <v>LAR_WIL_PLC_AB_CtrLogix_ANLZ_H_100_CEMS</v>
      </c>
      <c r="L83" s="32" t="str">
        <f>IF(I83 &lt;&gt; "",I83&amp;":\PAS\CBR\ProcessedFiles\"&amp;Table1[[#This Row],[Units]]&amp;"\"&amp;Table1[[#This Row],[Asset Type]]&amp;"\"&amp;K83,"")</f>
        <v>D:\PAS\CBR\ProcessedFiles\WIL\PLC\LAR_WIL_PLC_AB_CtrLogix_ANLZ_H_100_CEMS</v>
      </c>
      <c r="M83" s="1" t="str">
        <f>"MKDIR "&amp;Table1[[#This Row],[Suggested Folder Naming]]</f>
        <v>MKDIR D:\PAS\CBR\ProcessedFiles\WIL\PLC\LAR_WIL_PLC_AB_CtrLogix_ANLZ_H_100_CEMS</v>
      </c>
    </row>
    <row r="84" spans="1:13" s="1" customFormat="1" x14ac:dyDescent="0.25">
      <c r="A84" s="21"/>
      <c r="B84" s="7" t="s">
        <v>584</v>
      </c>
      <c r="C84" s="8" t="s">
        <v>475</v>
      </c>
      <c r="D84" s="19" t="s">
        <v>554</v>
      </c>
      <c r="E84" s="30" t="s">
        <v>31</v>
      </c>
      <c r="F84" s="31" t="s">
        <v>32</v>
      </c>
      <c r="G84" s="31" t="str">
        <f>_xlfn.IFNA(VLOOKUP(F84,'[1]Look Table'!B$1:E$75,3,FALSE),"")</f>
        <v>AB</v>
      </c>
      <c r="H84" s="31" t="str">
        <f>_xlfn.IFNA(VLOOKUP(F84,'[1]Look Table'!B$1:E$75,4,FALSE),"")</f>
        <v>CtrLogix</v>
      </c>
      <c r="I84" s="41" t="s">
        <v>463</v>
      </c>
      <c r="J84" s="31" t="str">
        <f t="shared" si="1"/>
        <v>LAR_WIL</v>
      </c>
      <c r="K84" s="3" t="str">
        <f>J84&amp;"_"&amp;E84&amp;IF(ISNUMBER(SEARCH("PAS",G84)),"","_")&amp;(_xlfn.TEXTJOIN("_",TRUE,IF(G84 &lt;&gt; "PAS",G84:H84,""))&amp;(IF(Table1[[#This Row],[Sub-Area]]&lt;&gt;"",_xlfn.CONCAT("_",Table1[[#This Row],[Sub-Area]]),"")))</f>
        <v>LAR_WIL_PLC_AB_CtrLogix_ANLZ_H_100_CEMS_Safety_PLC</v>
      </c>
      <c r="L84" s="32" t="str">
        <f>IF(I84 &lt;&gt; "",I84&amp;":\PAS\CBR\ProcessedFiles\"&amp;Table1[[#This Row],[Units]]&amp;"\"&amp;Table1[[#This Row],[Asset Type]]&amp;"\"&amp;K84,"")</f>
        <v>D:\PAS\CBR\ProcessedFiles\WIL\PLC\LAR_WIL_PLC_AB_CtrLogix_ANLZ_H_100_CEMS_Safety_PLC</v>
      </c>
      <c r="M84" s="1" t="str">
        <f>"MKDIR "&amp;Table1[[#This Row],[Suggested Folder Naming]]</f>
        <v>MKDIR D:\PAS\CBR\ProcessedFiles\WIL\PLC\LAR_WIL_PLC_AB_CtrLogix_ANLZ_H_100_CEMS_Safety_PLC</v>
      </c>
    </row>
    <row r="85" spans="1:13" s="1" customFormat="1" x14ac:dyDescent="0.25">
      <c r="A85" s="21"/>
      <c r="B85" s="7" t="s">
        <v>584</v>
      </c>
      <c r="C85" s="8" t="s">
        <v>475</v>
      </c>
      <c r="D85" s="19" t="s">
        <v>559</v>
      </c>
      <c r="E85" s="30" t="s">
        <v>31</v>
      </c>
      <c r="F85" s="31" t="s">
        <v>32</v>
      </c>
      <c r="G85" s="31" t="str">
        <f>_xlfn.IFNA(VLOOKUP(F85,'[1]Look Table'!B$1:E$75,3,FALSE),"")</f>
        <v>AB</v>
      </c>
      <c r="H85" s="31" t="str">
        <f>_xlfn.IFNA(VLOOKUP(F85,'[1]Look Table'!B$1:E$75,4,FALSE),"")</f>
        <v>CtrLogix</v>
      </c>
      <c r="I85" s="41" t="s">
        <v>463</v>
      </c>
      <c r="J85" s="31" t="str">
        <f t="shared" si="1"/>
        <v>LAR_WIL</v>
      </c>
      <c r="K85" s="3" t="str">
        <f>J85&amp;"_"&amp;E85&amp;IF(ISNUMBER(SEARCH("PAS",G85)),"","_")&amp;(_xlfn.TEXTJOIN("_",TRUE,IF(G85 &lt;&gt; "PAS",G85:H85,""))&amp;(IF(Table1[[#This Row],[Sub-Area]]&lt;&gt;"",_xlfn.CONCAT("_",Table1[[#This Row],[Sub-Area]]),"")))</f>
        <v>LAR_WIL_PLC_AB_CtrLogix_ANLZ_H_3_4_CEMS</v>
      </c>
      <c r="L85" s="32" t="str">
        <f>IF(I85 &lt;&gt; "",I85&amp;":\PAS\CBR\ProcessedFiles\"&amp;Table1[[#This Row],[Units]]&amp;"\"&amp;Table1[[#This Row],[Asset Type]]&amp;"\"&amp;K85,"")</f>
        <v>D:\PAS\CBR\ProcessedFiles\WIL\PLC\LAR_WIL_PLC_AB_CtrLogix_ANLZ_H_3_4_CEMS</v>
      </c>
      <c r="M85" s="1" t="str">
        <f>"MKDIR "&amp;Table1[[#This Row],[Suggested Folder Naming]]</f>
        <v>MKDIR D:\PAS\CBR\ProcessedFiles\WIL\PLC\LAR_WIL_PLC_AB_CtrLogix_ANLZ_H_3_4_CEMS</v>
      </c>
    </row>
    <row r="86" spans="1:13" s="1" customFormat="1" x14ac:dyDescent="0.25">
      <c r="A86" s="21"/>
      <c r="B86" s="7" t="s">
        <v>584</v>
      </c>
      <c r="C86" s="8" t="s">
        <v>475</v>
      </c>
      <c r="D86" s="19" t="s">
        <v>561</v>
      </c>
      <c r="E86" s="30" t="s">
        <v>31</v>
      </c>
      <c r="F86" s="31" t="s">
        <v>32</v>
      </c>
      <c r="G86" s="31" t="str">
        <f>_xlfn.IFNA(VLOOKUP(F86,'[1]Look Table'!B$1:E$75,3,FALSE),"")</f>
        <v>AB</v>
      </c>
      <c r="H86" s="31" t="str">
        <f>_xlfn.IFNA(VLOOKUP(F86,'[1]Look Table'!B$1:E$75,4,FALSE),"")</f>
        <v>CtrLogix</v>
      </c>
      <c r="I86" s="41" t="s">
        <v>463</v>
      </c>
      <c r="J86" s="31" t="str">
        <f t="shared" si="1"/>
        <v>LAR_WIL</v>
      </c>
      <c r="K86" s="3" t="str">
        <f>J86&amp;"_"&amp;E86&amp;IF(ISNUMBER(SEARCH("PAS",G86)),"","_")&amp;(_xlfn.TEXTJOIN("_",TRUE,IF(G86 &lt;&gt; "PAS",G86:H86,""))&amp;(IF(Table1[[#This Row],[Sub-Area]]&lt;&gt;"",_xlfn.CONCAT("_",Table1[[#This Row],[Sub-Area]]),"")))</f>
        <v>LAR_WIL_PLC_AB_CtrLogix_ANLZ_H_302_CEMS</v>
      </c>
      <c r="L86" s="32" t="str">
        <f>IF(I86 &lt;&gt; "",I86&amp;":\PAS\CBR\ProcessedFiles\"&amp;Table1[[#This Row],[Units]]&amp;"\"&amp;Table1[[#This Row],[Asset Type]]&amp;"\"&amp;K86,"")</f>
        <v>D:\PAS\CBR\ProcessedFiles\WIL\PLC\LAR_WIL_PLC_AB_CtrLogix_ANLZ_H_302_CEMS</v>
      </c>
      <c r="M86" s="1" t="str">
        <f>"MKDIR "&amp;Table1[[#This Row],[Suggested Folder Naming]]</f>
        <v>MKDIR D:\PAS\CBR\ProcessedFiles\WIL\PLC\LAR_WIL_PLC_AB_CtrLogix_ANLZ_H_302_CEMS</v>
      </c>
    </row>
    <row r="87" spans="1:13" s="1" customFormat="1" x14ac:dyDescent="0.25">
      <c r="A87" s="21"/>
      <c r="B87" s="7" t="s">
        <v>584</v>
      </c>
      <c r="C87" s="8" t="s">
        <v>475</v>
      </c>
      <c r="D87" s="19" t="s">
        <v>563</v>
      </c>
      <c r="E87" s="30" t="s">
        <v>31</v>
      </c>
      <c r="F87" s="31" t="s">
        <v>32</v>
      </c>
      <c r="G87" s="31" t="str">
        <f>_xlfn.IFNA(VLOOKUP(F87,'[1]Look Table'!B$1:E$75,3,FALSE),"")</f>
        <v>AB</v>
      </c>
      <c r="H87" s="31" t="str">
        <f>_xlfn.IFNA(VLOOKUP(F87,'[1]Look Table'!B$1:E$75,4,FALSE),"")</f>
        <v>CtrLogix</v>
      </c>
      <c r="I87" s="41" t="s">
        <v>463</v>
      </c>
      <c r="J87" s="31" t="str">
        <f t="shared" si="1"/>
        <v>LAR_WIL</v>
      </c>
      <c r="K87" s="3" t="str">
        <f>J87&amp;"_"&amp;E87&amp;IF(ISNUMBER(SEARCH("PAS",G87)),"","_")&amp;(_xlfn.TEXTJOIN("_",TRUE,IF(G87 &lt;&gt; "PAS",G87:H87,""))&amp;(IF(Table1[[#This Row],[Sub-Area]]&lt;&gt;"",_xlfn.CONCAT("_",Table1[[#This Row],[Sub-Area]]),"")))</f>
        <v>LAR_WIL_PLC_AB_CtrLogix_ANLZ_H_31_CEMS</v>
      </c>
      <c r="L87" s="32" t="str">
        <f>IF(I87 &lt;&gt; "",I87&amp;":\PAS\CBR\ProcessedFiles\"&amp;Table1[[#This Row],[Units]]&amp;"\"&amp;Table1[[#This Row],[Asset Type]]&amp;"\"&amp;K87,"")</f>
        <v>D:\PAS\CBR\ProcessedFiles\WIL\PLC\LAR_WIL_PLC_AB_CtrLogix_ANLZ_H_31_CEMS</v>
      </c>
      <c r="M87" s="1" t="str">
        <f>"MKDIR "&amp;Table1[[#This Row],[Suggested Folder Naming]]</f>
        <v>MKDIR D:\PAS\CBR\ProcessedFiles\WIL\PLC\LAR_WIL_PLC_AB_CtrLogix_ANLZ_H_31_CEMS</v>
      </c>
    </row>
    <row r="88" spans="1:13" s="1" customFormat="1" x14ac:dyDescent="0.25">
      <c r="A88" s="21"/>
      <c r="B88" s="7" t="s">
        <v>584</v>
      </c>
      <c r="C88" s="8" t="s">
        <v>475</v>
      </c>
      <c r="D88" s="19" t="s">
        <v>564</v>
      </c>
      <c r="E88" s="30" t="s">
        <v>31</v>
      </c>
      <c r="F88" s="31" t="s">
        <v>32</v>
      </c>
      <c r="G88" s="31" t="str">
        <f>_xlfn.IFNA(VLOOKUP(F88,'[1]Look Table'!B$1:E$75,3,FALSE),"")</f>
        <v>AB</v>
      </c>
      <c r="H88" s="31" t="str">
        <f>_xlfn.IFNA(VLOOKUP(F88,'[1]Look Table'!B$1:E$75,4,FALSE),"")</f>
        <v>CtrLogix</v>
      </c>
      <c r="I88" s="41" t="s">
        <v>463</v>
      </c>
      <c r="J88" s="31" t="str">
        <f t="shared" si="1"/>
        <v>LAR_WIL</v>
      </c>
      <c r="K88" s="3" t="str">
        <f>J88&amp;"_"&amp;E88&amp;IF(ISNUMBER(SEARCH("PAS",G88)),"","_")&amp;(_xlfn.TEXTJOIN("_",TRUE,IF(G88 &lt;&gt; "PAS",G88:H88,""))&amp;(IF(Table1[[#This Row],[Sub-Area]]&lt;&gt;"",_xlfn.CONCAT("_",Table1[[#This Row],[Sub-Area]]),"")))</f>
        <v>LAR_WIL_PLC_AB_CtrLogix_ANLZ_H_41_CEMS</v>
      </c>
      <c r="L88" s="32" t="str">
        <f>IF(I88 &lt;&gt; "",I88&amp;":\PAS\CBR\ProcessedFiles\"&amp;Table1[[#This Row],[Units]]&amp;"\"&amp;Table1[[#This Row],[Asset Type]]&amp;"\"&amp;K88,"")</f>
        <v>D:\PAS\CBR\ProcessedFiles\WIL\PLC\LAR_WIL_PLC_AB_CtrLogix_ANLZ_H_41_CEMS</v>
      </c>
      <c r="M88" s="1" t="str">
        <f>"MKDIR "&amp;Table1[[#This Row],[Suggested Folder Naming]]</f>
        <v>MKDIR D:\PAS\CBR\ProcessedFiles\WIL\PLC\LAR_WIL_PLC_AB_CtrLogix_ANLZ_H_41_CEMS</v>
      </c>
    </row>
    <row r="89" spans="1:13" s="1" customFormat="1" x14ac:dyDescent="0.25">
      <c r="A89" s="21"/>
      <c r="B89" s="7" t="s">
        <v>584</v>
      </c>
      <c r="C89" s="8" t="s">
        <v>475</v>
      </c>
      <c r="D89" s="19" t="s">
        <v>565</v>
      </c>
      <c r="E89" s="30" t="s">
        <v>31</v>
      </c>
      <c r="F89" s="31" t="s">
        <v>32</v>
      </c>
      <c r="G89" s="31" t="str">
        <f>_xlfn.IFNA(VLOOKUP(F89,'[1]Look Table'!B$1:E$75,3,FALSE),"")</f>
        <v>AB</v>
      </c>
      <c r="H89" s="31" t="str">
        <f>_xlfn.IFNA(VLOOKUP(F89,'[1]Look Table'!B$1:E$75,4,FALSE),"")</f>
        <v>CtrLogix</v>
      </c>
      <c r="I89" s="41" t="s">
        <v>463</v>
      </c>
      <c r="J89" s="31" t="str">
        <f t="shared" si="1"/>
        <v>LAR_WIL</v>
      </c>
      <c r="K89" s="3" t="str">
        <f>J89&amp;"_"&amp;E89&amp;IF(ISNUMBER(SEARCH("PAS",G89)),"","_")&amp;(_xlfn.TEXTJOIN("_",TRUE,IF(G89 &lt;&gt; "PAS",G89:H89,""))&amp;(IF(Table1[[#This Row],[Sub-Area]]&lt;&gt;"",_xlfn.CONCAT("_",Table1[[#This Row],[Sub-Area]]),"")))</f>
        <v>LAR_WIL_PLC_AB_CtrLogix_ANLZ_H_41_CEMS_Safety_PLC</v>
      </c>
      <c r="L89" s="32" t="str">
        <f>IF(I89 &lt;&gt; "",I89&amp;":\PAS\CBR\ProcessedFiles\"&amp;Table1[[#This Row],[Units]]&amp;"\"&amp;Table1[[#This Row],[Asset Type]]&amp;"\"&amp;K89,"")</f>
        <v>D:\PAS\CBR\ProcessedFiles\WIL\PLC\LAR_WIL_PLC_AB_CtrLogix_ANLZ_H_41_CEMS_Safety_PLC</v>
      </c>
      <c r="M89" s="1" t="str">
        <f>"MKDIR "&amp;Table1[[#This Row],[Suggested Folder Naming]]</f>
        <v>MKDIR D:\PAS\CBR\ProcessedFiles\WIL\PLC\LAR_WIL_PLC_AB_CtrLogix_ANLZ_H_41_CEMS_Safety_PLC</v>
      </c>
    </row>
    <row r="90" spans="1:13" s="1" customFormat="1" x14ac:dyDescent="0.25">
      <c r="A90" s="21"/>
      <c r="B90" s="7" t="s">
        <v>584</v>
      </c>
      <c r="C90" s="8" t="s">
        <v>475</v>
      </c>
      <c r="D90" s="19" t="s">
        <v>566</v>
      </c>
      <c r="E90" s="30" t="s">
        <v>31</v>
      </c>
      <c r="F90" s="31" t="s">
        <v>32</v>
      </c>
      <c r="G90" s="31" t="str">
        <f>_xlfn.IFNA(VLOOKUP(F90,'[1]Look Table'!B$1:E$75,3,FALSE),"")</f>
        <v>AB</v>
      </c>
      <c r="H90" s="31" t="str">
        <f>_xlfn.IFNA(VLOOKUP(F90,'[1]Look Table'!B$1:E$75,4,FALSE),"")</f>
        <v>CtrLogix</v>
      </c>
      <c r="I90" s="41" t="s">
        <v>463</v>
      </c>
      <c r="J90" s="31" t="str">
        <f t="shared" si="1"/>
        <v>LAR_WIL</v>
      </c>
      <c r="K90" s="3" t="str">
        <f>J90&amp;"_"&amp;E90&amp;IF(ISNUMBER(SEARCH("PAS",G90)),"","_")&amp;(_xlfn.TEXTJOIN("_",TRUE,IF(G90 &lt;&gt; "PAS",G90:H90,""))&amp;(IF(Table1[[#This Row],[Sub-Area]]&lt;&gt;"",_xlfn.CONCAT("_",Table1[[#This Row],[Sub-Area]]),"")))</f>
        <v>LAR_WIL_PLC_AB_CtrLogix_ANLZ_H_42_CEMS</v>
      </c>
      <c r="L90" s="32" t="str">
        <f>IF(I90 &lt;&gt; "",I90&amp;":\PAS\CBR\ProcessedFiles\"&amp;Table1[[#This Row],[Units]]&amp;"\"&amp;Table1[[#This Row],[Asset Type]]&amp;"\"&amp;K90,"")</f>
        <v>D:\PAS\CBR\ProcessedFiles\WIL\PLC\LAR_WIL_PLC_AB_CtrLogix_ANLZ_H_42_CEMS</v>
      </c>
      <c r="M90" s="1" t="str">
        <f>"MKDIR "&amp;Table1[[#This Row],[Suggested Folder Naming]]</f>
        <v>MKDIR D:\PAS\CBR\ProcessedFiles\WIL\PLC\LAR_WIL_PLC_AB_CtrLogix_ANLZ_H_42_CEMS</v>
      </c>
    </row>
    <row r="91" spans="1:13" s="1" customFormat="1" x14ac:dyDescent="0.25">
      <c r="A91" s="21"/>
      <c r="B91" s="7" t="s">
        <v>584</v>
      </c>
      <c r="C91" s="8" t="s">
        <v>475</v>
      </c>
      <c r="D91" s="19" t="s">
        <v>567</v>
      </c>
      <c r="E91" s="30" t="s">
        <v>31</v>
      </c>
      <c r="F91" s="31" t="s">
        <v>32</v>
      </c>
      <c r="G91" s="31" t="str">
        <f>_xlfn.IFNA(VLOOKUP(F91,'[1]Look Table'!B$1:E$75,3,FALSE),"")</f>
        <v>AB</v>
      </c>
      <c r="H91" s="31" t="str">
        <f>_xlfn.IFNA(VLOOKUP(F91,'[1]Look Table'!B$1:E$75,4,FALSE),"")</f>
        <v>CtrLogix</v>
      </c>
      <c r="I91" s="41" t="s">
        <v>463</v>
      </c>
      <c r="J91" s="31" t="str">
        <f t="shared" si="1"/>
        <v>LAR_WIL</v>
      </c>
      <c r="K91" s="3" t="str">
        <f>J91&amp;"_"&amp;E91&amp;IF(ISNUMBER(SEARCH("PAS",G91)),"","_")&amp;(_xlfn.TEXTJOIN("_",TRUE,IF(G91 &lt;&gt; "PAS",G91:H91,""))&amp;(IF(Table1[[#This Row],[Sub-Area]]&lt;&gt;"",_xlfn.CONCAT("_",Table1[[#This Row],[Sub-Area]]),"")))</f>
        <v>LAR_WIL_PLC_AB_CtrLogix_ANLZ_H_42_CEMS_Safety_PLC</v>
      </c>
      <c r="L91" s="32" t="str">
        <f>IF(I91 &lt;&gt; "",I91&amp;":\PAS\CBR\ProcessedFiles\"&amp;Table1[[#This Row],[Units]]&amp;"\"&amp;Table1[[#This Row],[Asset Type]]&amp;"\"&amp;K91,"")</f>
        <v>D:\PAS\CBR\ProcessedFiles\WIL\PLC\LAR_WIL_PLC_AB_CtrLogix_ANLZ_H_42_CEMS_Safety_PLC</v>
      </c>
      <c r="M91" s="1" t="str">
        <f>"MKDIR "&amp;Table1[[#This Row],[Suggested Folder Naming]]</f>
        <v>MKDIR D:\PAS\CBR\ProcessedFiles\WIL\PLC\LAR_WIL_PLC_AB_CtrLogix_ANLZ_H_42_CEMS_Safety_PLC</v>
      </c>
    </row>
    <row r="92" spans="1:13" s="1" customFormat="1" x14ac:dyDescent="0.25">
      <c r="A92" s="21"/>
      <c r="B92" s="7" t="s">
        <v>584</v>
      </c>
      <c r="C92" s="8" t="s">
        <v>475</v>
      </c>
      <c r="D92" s="19" t="s">
        <v>568</v>
      </c>
      <c r="E92" s="30" t="s">
        <v>31</v>
      </c>
      <c r="F92" s="31" t="s">
        <v>32</v>
      </c>
      <c r="G92" s="31" t="str">
        <f>_xlfn.IFNA(VLOOKUP(F92,'[1]Look Table'!B$1:E$75,3,FALSE),"")</f>
        <v>AB</v>
      </c>
      <c r="H92" s="31" t="str">
        <f>_xlfn.IFNA(VLOOKUP(F92,'[1]Look Table'!B$1:E$75,4,FALSE),"")</f>
        <v>CtrLogix</v>
      </c>
      <c r="I92" s="41" t="s">
        <v>463</v>
      </c>
      <c r="J92" s="31" t="str">
        <f t="shared" si="1"/>
        <v>LAR_WIL</v>
      </c>
      <c r="K92" s="3" t="str">
        <f>J92&amp;"_"&amp;E92&amp;IF(ISNUMBER(SEARCH("PAS",G92)),"","_")&amp;(_xlfn.TEXTJOIN("_",TRUE,IF(G92 &lt;&gt; "PAS",G92:H92,""))&amp;(IF(Table1[[#This Row],[Sub-Area]]&lt;&gt;"",_xlfn.CONCAT("_",Table1[[#This Row],[Sub-Area]]),"")))</f>
        <v>LAR_WIL_PLC_AB_CtrLogix_ANLZ_H_500_CEMS</v>
      </c>
      <c r="L92" s="32" t="str">
        <f>IF(I92 &lt;&gt; "",I92&amp;":\PAS\CBR\ProcessedFiles\"&amp;Table1[[#This Row],[Units]]&amp;"\"&amp;Table1[[#This Row],[Asset Type]]&amp;"\"&amp;K92,"")</f>
        <v>D:\PAS\CBR\ProcessedFiles\WIL\PLC\LAR_WIL_PLC_AB_CtrLogix_ANLZ_H_500_CEMS</v>
      </c>
      <c r="M92" s="1" t="str">
        <f>"MKDIR "&amp;Table1[[#This Row],[Suggested Folder Naming]]</f>
        <v>MKDIR D:\PAS\CBR\ProcessedFiles\WIL\PLC\LAR_WIL_PLC_AB_CtrLogix_ANLZ_H_500_CEMS</v>
      </c>
    </row>
    <row r="93" spans="1:13" s="1" customFormat="1" x14ac:dyDescent="0.25">
      <c r="A93" s="21"/>
      <c r="B93" s="7" t="s">
        <v>584</v>
      </c>
      <c r="C93" s="8" t="s">
        <v>475</v>
      </c>
      <c r="D93" s="19" t="s">
        <v>569</v>
      </c>
      <c r="E93" s="30" t="s">
        <v>31</v>
      </c>
      <c r="F93" s="31" t="s">
        <v>32</v>
      </c>
      <c r="G93" s="31" t="str">
        <f>_xlfn.IFNA(VLOOKUP(F93,'[1]Look Table'!B$1:E$75,3,FALSE),"")</f>
        <v>AB</v>
      </c>
      <c r="H93" s="31" t="str">
        <f>_xlfn.IFNA(VLOOKUP(F93,'[1]Look Table'!B$1:E$75,4,FALSE),"")</f>
        <v>CtrLogix</v>
      </c>
      <c r="I93" s="41" t="s">
        <v>463</v>
      </c>
      <c r="J93" s="31" t="str">
        <f t="shared" si="1"/>
        <v>LAR_WIL</v>
      </c>
      <c r="K93" s="3" t="str">
        <f>J93&amp;"_"&amp;E93&amp;IF(ISNUMBER(SEARCH("PAS",G93)),"","_")&amp;(_xlfn.TEXTJOIN("_",TRUE,IF(G93 &lt;&gt; "PAS",G93:H93,""))&amp;(IF(Table1[[#This Row],[Sub-Area]]&lt;&gt;"",_xlfn.CONCAT("_",Table1[[#This Row],[Sub-Area]]),"")))</f>
        <v>LAR_WIL_PLC_AB_CtrLogix_ANLZ_H_501_CEMS</v>
      </c>
      <c r="L93" s="32" t="str">
        <f>IF(I93 &lt;&gt; "",I93&amp;":\PAS\CBR\ProcessedFiles\"&amp;Table1[[#This Row],[Units]]&amp;"\"&amp;Table1[[#This Row],[Asset Type]]&amp;"\"&amp;K93,"")</f>
        <v>D:\PAS\CBR\ProcessedFiles\WIL\PLC\LAR_WIL_PLC_AB_CtrLogix_ANLZ_H_501_CEMS</v>
      </c>
      <c r="M93" s="1" t="str">
        <f>"MKDIR "&amp;Table1[[#This Row],[Suggested Folder Naming]]</f>
        <v>MKDIR D:\PAS\CBR\ProcessedFiles\WIL\PLC\LAR_WIL_PLC_AB_CtrLogix_ANLZ_H_501_CEMS</v>
      </c>
    </row>
    <row r="94" spans="1:13" s="1" customFormat="1" x14ac:dyDescent="0.25">
      <c r="A94" s="21"/>
      <c r="B94" s="7" t="s">
        <v>584</v>
      </c>
      <c r="C94" s="8" t="s">
        <v>475</v>
      </c>
      <c r="D94" s="19" t="s">
        <v>570</v>
      </c>
      <c r="E94" s="30" t="s">
        <v>31</v>
      </c>
      <c r="F94" s="31" t="s">
        <v>32</v>
      </c>
      <c r="G94" s="31" t="str">
        <f>_xlfn.IFNA(VLOOKUP(F94,'[1]Look Table'!B$1:E$75,3,FALSE),"")</f>
        <v>AB</v>
      </c>
      <c r="H94" s="31" t="str">
        <f>_xlfn.IFNA(VLOOKUP(F94,'[1]Look Table'!B$1:E$75,4,FALSE),"")</f>
        <v>CtrLogix</v>
      </c>
      <c r="I94" s="41" t="s">
        <v>463</v>
      </c>
      <c r="J94" s="31" t="str">
        <f t="shared" si="1"/>
        <v>LAR_WIL</v>
      </c>
      <c r="K94" s="3" t="str">
        <f>J94&amp;"_"&amp;E94&amp;IF(ISNUMBER(SEARCH("PAS",G94)),"","_")&amp;(_xlfn.TEXTJOIN("_",TRUE,IF(G94 &lt;&gt; "PAS",G94:H94,""))&amp;(IF(Table1[[#This Row],[Sub-Area]]&lt;&gt;"",_xlfn.CONCAT("_",Table1[[#This Row],[Sub-Area]]),"")))</f>
        <v>LAR_WIL_PLC_AB_CtrLogix_ANLZ_H_501_CEMS_Safety_PLC</v>
      </c>
      <c r="L94" s="32" t="str">
        <f>IF(I94 &lt;&gt; "",I94&amp;":\PAS\CBR\ProcessedFiles\"&amp;Table1[[#This Row],[Units]]&amp;"\"&amp;Table1[[#This Row],[Asset Type]]&amp;"\"&amp;K94,"")</f>
        <v>D:\PAS\CBR\ProcessedFiles\WIL\PLC\LAR_WIL_PLC_AB_CtrLogix_ANLZ_H_501_CEMS_Safety_PLC</v>
      </c>
      <c r="M94" s="1" t="str">
        <f>"MKDIR "&amp;Table1[[#This Row],[Suggested Folder Naming]]</f>
        <v>MKDIR D:\PAS\CBR\ProcessedFiles\WIL\PLC\LAR_WIL_PLC_AB_CtrLogix_ANLZ_H_501_CEMS_Safety_PLC</v>
      </c>
    </row>
    <row r="95" spans="1:13" s="1" customFormat="1" x14ac:dyDescent="0.25">
      <c r="A95" s="21"/>
      <c r="B95" s="7" t="s">
        <v>584</v>
      </c>
      <c r="C95" s="8" t="s">
        <v>475</v>
      </c>
      <c r="D95" s="19" t="s">
        <v>574</v>
      </c>
      <c r="E95" s="30" t="s">
        <v>31</v>
      </c>
      <c r="F95" s="31" t="s">
        <v>32</v>
      </c>
      <c r="G95" s="31" t="str">
        <f>_xlfn.IFNA(VLOOKUP(F95,'[1]Look Table'!B$1:E$75,3,FALSE),"")</f>
        <v>AB</v>
      </c>
      <c r="H95" s="31" t="str">
        <f>_xlfn.IFNA(VLOOKUP(F95,'[1]Look Table'!B$1:E$75,4,FALSE),"")</f>
        <v>CtrLogix</v>
      </c>
      <c r="I95" s="41" t="s">
        <v>463</v>
      </c>
      <c r="J95" s="31" t="str">
        <f t="shared" si="1"/>
        <v>LAR_WIL</v>
      </c>
      <c r="K95" s="3" t="str">
        <f>J95&amp;"_"&amp;E95&amp;IF(ISNUMBER(SEARCH("PAS",G95)),"","_")&amp;(_xlfn.TEXTJOIN("_",TRUE,IF(G95 &lt;&gt; "PAS",G95:H95,""))&amp;(IF(Table1[[#This Row],[Sub-Area]]&lt;&gt;"",_xlfn.CONCAT("_",Table1[[#This Row],[Sub-Area]]),"")))</f>
        <v>LAR_WIL_PLC_AB_CtrLogix_ANLZ_LACSD_Waste_water</v>
      </c>
      <c r="L95" s="32" t="str">
        <f>IF(I95 &lt;&gt; "",I95&amp;":\PAS\CBR\ProcessedFiles\"&amp;Table1[[#This Row],[Units]]&amp;"\"&amp;Table1[[#This Row],[Asset Type]]&amp;"\"&amp;K95,"")</f>
        <v>D:\PAS\CBR\ProcessedFiles\WIL\PLC\LAR_WIL_PLC_AB_CtrLogix_ANLZ_LACSD_Waste_water</v>
      </c>
      <c r="M95" s="1" t="str">
        <f>"MKDIR "&amp;Table1[[#This Row],[Suggested Folder Naming]]</f>
        <v>MKDIR D:\PAS\CBR\ProcessedFiles\WIL\PLC\LAR_WIL_PLC_AB_CtrLogix_ANLZ_LACSD_Waste_water</v>
      </c>
    </row>
    <row r="96" spans="1:13" s="1" customFormat="1" x14ac:dyDescent="0.25">
      <c r="A96" s="21"/>
      <c r="B96" s="7" t="s">
        <v>584</v>
      </c>
      <c r="C96" s="8" t="s">
        <v>475</v>
      </c>
      <c r="D96" s="19" t="s">
        <v>575</v>
      </c>
      <c r="E96" s="30" t="s">
        <v>31</v>
      </c>
      <c r="F96" s="31" t="s">
        <v>32</v>
      </c>
      <c r="G96" s="31" t="str">
        <f>_xlfn.IFNA(VLOOKUP(F96,'[1]Look Table'!B$1:E$75,3,FALSE),"")</f>
        <v>AB</v>
      </c>
      <c r="H96" s="31" t="str">
        <f>_xlfn.IFNA(VLOOKUP(F96,'[1]Look Table'!B$1:E$75,4,FALSE),"")</f>
        <v>CtrLogix</v>
      </c>
      <c r="I96" s="41" t="s">
        <v>463</v>
      </c>
      <c r="J96" s="31" t="str">
        <f t="shared" si="1"/>
        <v>LAR_WIL</v>
      </c>
      <c r="K96" s="3" t="str">
        <f>J96&amp;"_"&amp;E96&amp;IF(ISNUMBER(SEARCH("PAS",G96)),"","_")&amp;(_xlfn.TEXTJOIN("_",TRUE,IF(G96 &lt;&gt; "PAS",G96:H96,""))&amp;(IF(Table1[[#This Row],[Sub-Area]]&lt;&gt;"",_xlfn.CONCAT("_",Table1[[#This Row],[Sub-Area]]),"")))</f>
        <v>LAR_WIL_PLC_AB_CtrLogix_ANLZ_LAR_Flare</v>
      </c>
      <c r="L96" s="32" t="str">
        <f>IF(I96 &lt;&gt; "",I96&amp;":\PAS\CBR\ProcessedFiles\"&amp;Table1[[#This Row],[Units]]&amp;"\"&amp;Table1[[#This Row],[Asset Type]]&amp;"\"&amp;K96,"")</f>
        <v>D:\PAS\CBR\ProcessedFiles\WIL\PLC\LAR_WIL_PLC_AB_CtrLogix_ANLZ_LAR_Flare</v>
      </c>
      <c r="M96" s="1" t="str">
        <f>"MKDIR "&amp;Table1[[#This Row],[Suggested Folder Naming]]</f>
        <v>MKDIR D:\PAS\CBR\ProcessedFiles\WIL\PLC\LAR_WIL_PLC_AB_CtrLogix_ANLZ_LAR_Flare</v>
      </c>
    </row>
    <row r="97" spans="1:13" s="1" customFormat="1" x14ac:dyDescent="0.25">
      <c r="A97" s="21"/>
      <c r="B97" s="7" t="s">
        <v>584</v>
      </c>
      <c r="C97" s="8" t="s">
        <v>475</v>
      </c>
      <c r="D97" s="19" t="s">
        <v>580</v>
      </c>
      <c r="E97" s="30" t="s">
        <v>31</v>
      </c>
      <c r="F97" s="31" t="s">
        <v>32</v>
      </c>
      <c r="G97" s="31" t="str">
        <f>_xlfn.IFNA(VLOOKUP(F97,'[1]Look Table'!B$1:E$75,3,FALSE),"")</f>
        <v>AB</v>
      </c>
      <c r="H97" s="31" t="str">
        <f>_xlfn.IFNA(VLOOKUP(F97,'[1]Look Table'!B$1:E$75,4,FALSE),"")</f>
        <v>CtrLogix</v>
      </c>
      <c r="I97" s="41" t="s">
        <v>463</v>
      </c>
      <c r="J97" s="31" t="str">
        <f t="shared" si="1"/>
        <v>LAR_WIL</v>
      </c>
      <c r="K97" s="3" t="str">
        <f>J97&amp;"_"&amp;E97&amp;IF(ISNUMBER(SEARCH("PAS",G97)),"","_")&amp;(_xlfn.TEXTJOIN("_",TRUE,IF(G97 &lt;&gt; "PAS",G97:H97,""))&amp;(IF(Table1[[#This Row],[Sub-Area]]&lt;&gt;"",_xlfn.CONCAT("_",Table1[[#This Row],[Sub-Area]]),"")))</f>
        <v>LAR_WIL_PLC_AB_CtrLogix_ANLZ_SRP_Flare</v>
      </c>
      <c r="L97" s="32" t="str">
        <f>IF(I97 &lt;&gt; "",I97&amp;":\PAS\CBR\ProcessedFiles\"&amp;Table1[[#This Row],[Units]]&amp;"\"&amp;Table1[[#This Row],[Asset Type]]&amp;"\"&amp;K97,"")</f>
        <v>D:\PAS\CBR\ProcessedFiles\WIL\PLC\LAR_WIL_PLC_AB_CtrLogix_ANLZ_SRP_Flare</v>
      </c>
      <c r="M97" s="1" t="str">
        <f>"MKDIR "&amp;Table1[[#This Row],[Suggested Folder Naming]]</f>
        <v>MKDIR D:\PAS\CBR\ProcessedFiles\WIL\PLC\LAR_WIL_PLC_AB_CtrLogix_ANLZ_SRP_Flare</v>
      </c>
    </row>
    <row r="98" spans="1:13" s="1" customFormat="1" x14ac:dyDescent="0.25">
      <c r="A98" s="21"/>
      <c r="B98" s="7" t="s">
        <v>584</v>
      </c>
      <c r="C98" s="8" t="s">
        <v>475</v>
      </c>
      <c r="D98" s="19" t="s">
        <v>57</v>
      </c>
      <c r="E98" s="30" t="s">
        <v>31</v>
      </c>
      <c r="F98" s="31" t="s">
        <v>32</v>
      </c>
      <c r="G98" s="31" t="s">
        <v>36</v>
      </c>
      <c r="H98" s="31" t="s">
        <v>37</v>
      </c>
      <c r="I98" s="41" t="s">
        <v>463</v>
      </c>
      <c r="J98" s="31" t="str">
        <f t="shared" si="1"/>
        <v>LAR_WIL</v>
      </c>
      <c r="K98" s="3" t="str">
        <f>J98&amp;"_"&amp;E98&amp;IF(ISNUMBER(SEARCH("PAS",G98)),"","_")&amp;(_xlfn.TEXTJOIN("_",TRUE,IF(G98 &lt;&gt; "PAS",G98:H98,""))&amp;(IF(Table1[[#This Row],[Sub-Area]]&lt;&gt;"",_xlfn.CONCAT("_",Table1[[#This Row],[Sub-Area]]),"")))</f>
        <v>LAR_WIL_PLC_AB_CtrLogix_IB_72AC_612</v>
      </c>
      <c r="L98" s="32" t="str">
        <f>IF(I98 &lt;&gt; "",I98&amp;":\PAS\CBR\ProcessedFiles\"&amp;Table1[[#This Row],[Units]]&amp;"\"&amp;Table1[[#This Row],[Asset Type]]&amp;"\"&amp;K98,"")</f>
        <v>D:\PAS\CBR\ProcessedFiles\WIL\PLC\LAR_WIL_PLC_AB_CtrLogix_IB_72AC_612</v>
      </c>
      <c r="M98" s="33" t="str">
        <f>"MKDIR "&amp;Table1[[#This Row],[Suggested Folder Naming]]</f>
        <v>MKDIR D:\PAS\CBR\ProcessedFiles\WIL\PLC\LAR_WIL_PLC_AB_CtrLogix_IB_72AC_612</v>
      </c>
    </row>
    <row r="99" spans="1:13" s="1" customFormat="1" x14ac:dyDescent="0.25">
      <c r="A99" s="21"/>
      <c r="B99" s="7" t="s">
        <v>584</v>
      </c>
      <c r="C99" s="8" t="s">
        <v>475</v>
      </c>
      <c r="D99" s="19" t="s">
        <v>58</v>
      </c>
      <c r="E99" s="30" t="s">
        <v>31</v>
      </c>
      <c r="F99" s="31" t="s">
        <v>32</v>
      </c>
      <c r="G99" s="31" t="s">
        <v>36</v>
      </c>
      <c r="H99" s="31" t="s">
        <v>37</v>
      </c>
      <c r="I99" s="41" t="s">
        <v>463</v>
      </c>
      <c r="J99" s="31" t="str">
        <f t="shared" si="1"/>
        <v>LAR_WIL</v>
      </c>
      <c r="K99" s="3" t="str">
        <f>J99&amp;"_"&amp;E99&amp;IF(ISNUMBER(SEARCH("PAS",G99)),"","_")&amp;(_xlfn.TEXTJOIN("_",TRUE,IF(G99 &lt;&gt; "PAS",G99:H99,""))&amp;(IF(Table1[[#This Row],[Sub-Area]]&lt;&gt;"",_xlfn.CONCAT("_",Table1[[#This Row],[Sub-Area]]),"")))</f>
        <v>LAR_WIL_PLC_AB_CtrLogix_SRP_Analyzer</v>
      </c>
      <c r="L99" s="32" t="str">
        <f>IF(I99 &lt;&gt; "",I99&amp;":\PAS\CBR\ProcessedFiles\"&amp;Table1[[#This Row],[Units]]&amp;"\"&amp;Table1[[#This Row],[Asset Type]]&amp;"\"&amp;K99,"")</f>
        <v>D:\PAS\CBR\ProcessedFiles\WIL\PLC\LAR_WIL_PLC_AB_CtrLogix_SRP_Analyzer</v>
      </c>
      <c r="M99" s="33" t="str">
        <f>"MKDIR "&amp;Table1[[#This Row],[Suggested Folder Naming]]</f>
        <v>MKDIR D:\PAS\CBR\ProcessedFiles\WIL\PLC\LAR_WIL_PLC_AB_CtrLogix_SRP_Analyzer</v>
      </c>
    </row>
    <row r="100" spans="1:13" s="1" customFormat="1" x14ac:dyDescent="0.25">
      <c r="A100" s="21"/>
      <c r="B100" s="7" t="s">
        <v>584</v>
      </c>
      <c r="C100" s="8" t="s">
        <v>475</v>
      </c>
      <c r="D100" s="19" t="s">
        <v>59</v>
      </c>
      <c r="E100" s="30" t="s">
        <v>31</v>
      </c>
      <c r="F100" s="31" t="s">
        <v>32</v>
      </c>
      <c r="G100" s="31" t="s">
        <v>36</v>
      </c>
      <c r="H100" s="31" t="s">
        <v>37</v>
      </c>
      <c r="I100" s="41" t="s">
        <v>463</v>
      </c>
      <c r="J100" s="31" t="str">
        <f t="shared" si="1"/>
        <v>LAR_WIL</v>
      </c>
      <c r="K100" s="3" t="str">
        <f>J100&amp;"_"&amp;E100&amp;IF(ISNUMBER(SEARCH("PAS",G100)),"","_")&amp;(_xlfn.TEXTJOIN("_",TRUE,IF(G100 &lt;&gt; "PAS",G100:H100,""))&amp;(IF(Table1[[#This Row],[Sub-Area]]&lt;&gt;"",_xlfn.CONCAT("_",Table1[[#This Row],[Sub-Area]]),"")))</f>
        <v>LAR_WIL_PLC_AB_CtrLogix_SRP_F1402</v>
      </c>
      <c r="L100" s="32" t="str">
        <f>IF(I100 &lt;&gt; "",I100&amp;":\PAS\CBR\ProcessedFiles\"&amp;Table1[[#This Row],[Units]]&amp;"\"&amp;Table1[[#This Row],[Asset Type]]&amp;"\"&amp;K100,"")</f>
        <v>D:\PAS\CBR\ProcessedFiles\WIL\PLC\LAR_WIL_PLC_AB_CtrLogix_SRP_F1402</v>
      </c>
      <c r="M100" s="33" t="str">
        <f>"MKDIR "&amp;Table1[[#This Row],[Suggested Folder Naming]]</f>
        <v>MKDIR D:\PAS\CBR\ProcessedFiles\WIL\PLC\LAR_WIL_PLC_AB_CtrLogix_SRP_F1402</v>
      </c>
    </row>
    <row r="101" spans="1:13" s="1" customFormat="1" x14ac:dyDescent="0.25">
      <c r="A101" s="21"/>
      <c r="B101" s="7" t="s">
        <v>584</v>
      </c>
      <c r="C101" s="8" t="s">
        <v>475</v>
      </c>
      <c r="D101" s="19" t="s">
        <v>60</v>
      </c>
      <c r="E101" s="30" t="s">
        <v>31</v>
      </c>
      <c r="F101" s="31" t="s">
        <v>32</v>
      </c>
      <c r="G101" s="31" t="s">
        <v>36</v>
      </c>
      <c r="H101" s="31" t="s">
        <v>37</v>
      </c>
      <c r="I101" s="41" t="s">
        <v>463</v>
      </c>
      <c r="J101" s="31" t="str">
        <f t="shared" si="1"/>
        <v>LAR_WIL</v>
      </c>
      <c r="K101" s="3" t="str">
        <f>J101&amp;"_"&amp;E101&amp;IF(ISNUMBER(SEARCH("PAS",G101)),"","_")&amp;(_xlfn.TEXTJOIN("_",TRUE,IF(G101 &lt;&gt; "PAS",G101:H101,""))&amp;(IF(Table1[[#This Row],[Sub-Area]]&lt;&gt;"",_xlfn.CONCAT("_",Table1[[#This Row],[Sub-Area]]),"")))</f>
        <v>LAR_WIL_PLC_AB_CtrLogix_SRP_F705</v>
      </c>
      <c r="L101" s="32" t="str">
        <f>IF(I101 &lt;&gt; "",I101&amp;":\PAS\CBR\ProcessedFiles\"&amp;Table1[[#This Row],[Units]]&amp;"\"&amp;Table1[[#This Row],[Asset Type]]&amp;"\"&amp;K101,"")</f>
        <v>D:\PAS\CBR\ProcessedFiles\WIL\PLC\LAR_WIL_PLC_AB_CtrLogix_SRP_F705</v>
      </c>
      <c r="M101" s="33" t="str">
        <f>"MKDIR "&amp;Table1[[#This Row],[Suggested Folder Naming]]</f>
        <v>MKDIR D:\PAS\CBR\ProcessedFiles\WIL\PLC\LAR_WIL_PLC_AB_CtrLogix_SRP_F705</v>
      </c>
    </row>
    <row r="102" spans="1:13" s="1" customFormat="1" x14ac:dyDescent="0.25">
      <c r="A102" s="21"/>
      <c r="B102" s="7" t="s">
        <v>584</v>
      </c>
      <c r="C102" s="8" t="s">
        <v>475</v>
      </c>
      <c r="D102" s="19" t="s">
        <v>61</v>
      </c>
      <c r="E102" s="30" t="s">
        <v>31</v>
      </c>
      <c r="F102" s="31" t="s">
        <v>32</v>
      </c>
      <c r="G102" s="31" t="s">
        <v>36</v>
      </c>
      <c r="H102" s="31" t="s">
        <v>37</v>
      </c>
      <c r="I102" s="41" t="s">
        <v>463</v>
      </c>
      <c r="J102" s="31" t="str">
        <f t="shared" si="1"/>
        <v>LAR_WIL</v>
      </c>
      <c r="K102" s="3" t="str">
        <f>J102&amp;"_"&amp;E102&amp;IF(ISNUMBER(SEARCH("PAS",G102)),"","_")&amp;(_xlfn.TEXTJOIN("_",TRUE,IF(G102 &lt;&gt; "PAS",G102:H102,""))&amp;(IF(Table1[[#This Row],[Sub-Area]]&lt;&gt;"",_xlfn.CONCAT("_",Table1[[#This Row],[Sub-Area]]),"")))</f>
        <v>LAR_WIL_PLC_AB_CtrLogix_SRP_Flare</v>
      </c>
      <c r="L102" s="32" t="str">
        <f>IF(I102 &lt;&gt; "",I102&amp;":\PAS\CBR\ProcessedFiles\"&amp;Table1[[#This Row],[Units]]&amp;"\"&amp;Table1[[#This Row],[Asset Type]]&amp;"\"&amp;K102,"")</f>
        <v>D:\PAS\CBR\ProcessedFiles\WIL\PLC\LAR_WIL_PLC_AB_CtrLogix_SRP_Flare</v>
      </c>
      <c r="M102" s="33" t="str">
        <f>"MKDIR "&amp;Table1[[#This Row],[Suggested Folder Naming]]</f>
        <v>MKDIR D:\PAS\CBR\ProcessedFiles\WIL\PLC\LAR_WIL_PLC_AB_CtrLogix_SRP_Flare</v>
      </c>
    </row>
    <row r="103" spans="1:13" s="1" customFormat="1" x14ac:dyDescent="0.25">
      <c r="A103" s="21"/>
      <c r="B103" s="7" t="s">
        <v>584</v>
      </c>
      <c r="C103" s="8" t="s">
        <v>475</v>
      </c>
      <c r="D103" s="19" t="s">
        <v>255</v>
      </c>
      <c r="E103" s="30" t="s">
        <v>31</v>
      </c>
      <c r="F103" s="31" t="s">
        <v>32</v>
      </c>
      <c r="G103" s="31" t="s">
        <v>36</v>
      </c>
      <c r="H103" s="31" t="str">
        <f>_xlfn.IFNA(VLOOKUP(F103,'[1]Look Table'!B$1:E$75,4,FALSE),"")</f>
        <v>CtrLogix</v>
      </c>
      <c r="I103" s="41" t="s">
        <v>463</v>
      </c>
      <c r="J103" s="31" t="str">
        <f t="shared" si="1"/>
        <v>LAR_WIL</v>
      </c>
      <c r="K103" s="3" t="str">
        <f>J103&amp;"_"&amp;E103&amp;IF(ISNUMBER(SEARCH("PAS",G103)),"","_")&amp;(_xlfn.TEXTJOIN("_",TRUE,IF(G103 &lt;&gt; "PAS",G103:H103,""))&amp;(IF(Table1[[#This Row],[Sub-Area]]&lt;&gt;"",_xlfn.CONCAT("_",Table1[[#This Row],[Sub-Area]]),"")))</f>
        <v>LAR_WIL_PLC_AB_CtrLogix_72_PLC_102</v>
      </c>
      <c r="L103" s="32" t="str">
        <f>IF(I103 &lt;&gt; "",I103&amp;":\PAS\CBR\ProcessedFiles\"&amp;Table1[[#This Row],[Units]]&amp;"\"&amp;Table1[[#This Row],[Asset Type]]&amp;"\"&amp;K103,"")</f>
        <v>D:\PAS\CBR\ProcessedFiles\WIL\PLC\LAR_WIL_PLC_AB_CtrLogix_72_PLC_102</v>
      </c>
      <c r="M103" s="33" t="str">
        <f>"MKDIR "&amp;Table1[[#This Row],[Suggested Folder Naming]]</f>
        <v>MKDIR D:\PAS\CBR\ProcessedFiles\WIL\PLC\LAR_WIL_PLC_AB_CtrLogix_72_PLC_102</v>
      </c>
    </row>
    <row r="104" spans="1:13" s="1" customFormat="1" x14ac:dyDescent="0.25">
      <c r="A104" s="21"/>
      <c r="B104" s="7" t="s">
        <v>584</v>
      </c>
      <c r="C104" s="8" t="s">
        <v>475</v>
      </c>
      <c r="D104" s="19" t="s">
        <v>256</v>
      </c>
      <c r="E104" s="30" t="s">
        <v>31</v>
      </c>
      <c r="F104" s="31" t="s">
        <v>32</v>
      </c>
      <c r="G104" s="31" t="s">
        <v>36</v>
      </c>
      <c r="H104" s="31" t="str">
        <f>_xlfn.IFNA(VLOOKUP(F104,'[1]Look Table'!B$1:E$75,4,FALSE),"")</f>
        <v>CtrLogix</v>
      </c>
      <c r="I104" s="41" t="s">
        <v>463</v>
      </c>
      <c r="J104" s="31" t="str">
        <f t="shared" si="1"/>
        <v>LAR_WIL</v>
      </c>
      <c r="K104" s="3" t="str">
        <f>J104&amp;"_"&amp;E104&amp;IF(ISNUMBER(SEARCH("PAS",G104)),"","_")&amp;(_xlfn.TEXTJOIN("_",TRUE,IF(G104 &lt;&gt; "PAS",G104:H104,""))&amp;(IF(Table1[[#This Row],[Sub-Area]]&lt;&gt;"",_xlfn.CONCAT("_",Table1[[#This Row],[Sub-Area]]),"")))</f>
        <v>LAR_WIL_PLC_AB_CtrLogix_72_PLC_103</v>
      </c>
      <c r="L104" s="32" t="str">
        <f>IF(I104 &lt;&gt; "",I104&amp;":\PAS\CBR\ProcessedFiles\"&amp;Table1[[#This Row],[Units]]&amp;"\"&amp;Table1[[#This Row],[Asset Type]]&amp;"\"&amp;K104,"")</f>
        <v>D:\PAS\CBR\ProcessedFiles\WIL\PLC\LAR_WIL_PLC_AB_CtrLogix_72_PLC_103</v>
      </c>
      <c r="M104" s="33" t="str">
        <f>"MKDIR "&amp;Table1[[#This Row],[Suggested Folder Naming]]</f>
        <v>MKDIR D:\PAS\CBR\ProcessedFiles\WIL\PLC\LAR_WIL_PLC_AB_CtrLogix_72_PLC_103</v>
      </c>
    </row>
    <row r="105" spans="1:13" s="1" customFormat="1" x14ac:dyDescent="0.25">
      <c r="A105" s="21"/>
      <c r="B105" s="7" t="s">
        <v>584</v>
      </c>
      <c r="C105" s="8" t="s">
        <v>475</v>
      </c>
      <c r="D105" s="19" t="s">
        <v>257</v>
      </c>
      <c r="E105" s="30" t="s">
        <v>31</v>
      </c>
      <c r="F105" s="31" t="s">
        <v>32</v>
      </c>
      <c r="G105" s="31" t="s">
        <v>36</v>
      </c>
      <c r="H105" s="31" t="str">
        <f>_xlfn.IFNA(VLOOKUP(F105,'[1]Look Table'!B$1:E$75,4,FALSE),"")</f>
        <v>CtrLogix</v>
      </c>
      <c r="I105" s="41" t="s">
        <v>463</v>
      </c>
      <c r="J105" s="31" t="str">
        <f t="shared" si="1"/>
        <v>LAR_WIL</v>
      </c>
      <c r="K105" s="3" t="str">
        <f>J105&amp;"_"&amp;E105&amp;IF(ISNUMBER(SEARCH("PAS",G105)),"","_")&amp;(_xlfn.TEXTJOIN("_",TRUE,IF(G105 &lt;&gt; "PAS",G105:H105,""))&amp;(IF(Table1[[#This Row],[Sub-Area]]&lt;&gt;"",_xlfn.CONCAT("_",Table1[[#This Row],[Sub-Area]]),"")))</f>
        <v>LAR_WIL_PLC_AB_CtrLogix_77PLC150</v>
      </c>
      <c r="L105" s="32" t="str">
        <f>IF(I105 &lt;&gt; "",I105&amp;":\PAS\CBR\ProcessedFiles\"&amp;Table1[[#This Row],[Units]]&amp;"\"&amp;Table1[[#This Row],[Asset Type]]&amp;"\"&amp;K105,"")</f>
        <v>D:\PAS\CBR\ProcessedFiles\WIL\PLC\LAR_WIL_PLC_AB_CtrLogix_77PLC150</v>
      </c>
      <c r="M105" s="33" t="str">
        <f>"MKDIR "&amp;Table1[[#This Row],[Suggested Folder Naming]]</f>
        <v>MKDIR D:\PAS\CBR\ProcessedFiles\WIL\PLC\LAR_WIL_PLC_AB_CtrLogix_77PLC150</v>
      </c>
    </row>
    <row r="106" spans="1:13" s="1" customFormat="1" x14ac:dyDescent="0.25">
      <c r="A106" s="21"/>
      <c r="B106" s="7" t="s">
        <v>584</v>
      </c>
      <c r="C106" s="8" t="s">
        <v>477</v>
      </c>
      <c r="D106" s="19" t="s">
        <v>63</v>
      </c>
      <c r="E106" s="30" t="s">
        <v>31</v>
      </c>
      <c r="F106" s="31" t="s">
        <v>64</v>
      </c>
      <c r="G106" s="31" t="str">
        <f>_xlfn.IFNA(VLOOKUP(F106,'Look Table'!B$1:E$64,3,FALSE),"")</f>
        <v>AB</v>
      </c>
      <c r="H106" s="31" t="str">
        <f>_xlfn.IFNA(VLOOKUP(F106,'Look Table'!B$1:E$64,4,FALSE),"")</f>
        <v>PLC5</v>
      </c>
      <c r="I106" s="41" t="s">
        <v>463</v>
      </c>
      <c r="J106" s="31" t="str">
        <f t="shared" si="1"/>
        <v>LAR_CAR</v>
      </c>
      <c r="K106" s="3" t="str">
        <f>J106&amp;"_"&amp;E106&amp;IF(ISNUMBER(SEARCH("PAS",G106)),"","_")&amp;(_xlfn.TEXTJOIN("_",TRUE,IF(G106 &lt;&gt; "PAS",G106:H106,""))&amp;(IF(Table1[[#This Row],[Sub-Area]]&lt;&gt;"",_xlfn.CONCAT("_",Table1[[#This Row],[Sub-Area]]),"")))</f>
        <v>LAR_CAR_PLC_AB_PLC5_11PLC_9050</v>
      </c>
      <c r="L106" s="32" t="str">
        <f>IF(I106 &lt;&gt; "",I106&amp;":\PAS\CBR\ProcessedFiles\"&amp;Table1[[#This Row],[Units]]&amp;"\"&amp;Table1[[#This Row],[Asset Type]]&amp;"\"&amp;K106,"")</f>
        <v>D:\PAS\CBR\ProcessedFiles\CAR\PLC\LAR_CAR_PLC_AB_PLC5_11PLC_9050</v>
      </c>
      <c r="M106" s="33" t="str">
        <f>"MKDIR "&amp;Table1[[#This Row],[Suggested Folder Naming]]</f>
        <v>MKDIR D:\PAS\CBR\ProcessedFiles\CAR\PLC\LAR_CAR_PLC_AB_PLC5_11PLC_9050</v>
      </c>
    </row>
    <row r="107" spans="1:13" s="1" customFormat="1" x14ac:dyDescent="0.25">
      <c r="A107" s="21"/>
      <c r="B107" s="7" t="s">
        <v>584</v>
      </c>
      <c r="C107" s="8" t="s">
        <v>477</v>
      </c>
      <c r="D107" s="19" t="s">
        <v>65</v>
      </c>
      <c r="E107" s="30" t="s">
        <v>31</v>
      </c>
      <c r="F107" s="31" t="s">
        <v>64</v>
      </c>
      <c r="G107" s="31" t="s">
        <v>36</v>
      </c>
      <c r="H107" s="31" t="s">
        <v>400</v>
      </c>
      <c r="I107" s="41" t="s">
        <v>463</v>
      </c>
      <c r="J107" s="31" t="str">
        <f t="shared" si="1"/>
        <v>LAR_CAR</v>
      </c>
      <c r="K107" s="3" t="str">
        <f>J107&amp;"_"&amp;E107&amp;IF(ISNUMBER(SEARCH("PAS",G107)),"","_")&amp;(_xlfn.TEXTJOIN("_",TRUE,IF(G107 &lt;&gt; "PAS",G107:H107,""))&amp;(IF(Table1[[#This Row],[Sub-Area]]&lt;&gt;"",_xlfn.CONCAT("_",Table1[[#This Row],[Sub-Area]]),"")))</f>
        <v>LAR_CAR_PLC_AB_PLC5_17PLC_9056</v>
      </c>
      <c r="L107" s="32" t="str">
        <f>IF(I107 &lt;&gt; "",I107&amp;":\PAS\CBR\ProcessedFiles\"&amp;Table1[[#This Row],[Units]]&amp;"\"&amp;Table1[[#This Row],[Asset Type]]&amp;"\"&amp;K107,"")</f>
        <v>D:\PAS\CBR\ProcessedFiles\CAR\PLC\LAR_CAR_PLC_AB_PLC5_17PLC_9056</v>
      </c>
      <c r="M107" s="33" t="str">
        <f>"MKDIR "&amp;Table1[[#This Row],[Suggested Folder Naming]]</f>
        <v>MKDIR D:\PAS\CBR\ProcessedFiles\CAR\PLC\LAR_CAR_PLC_AB_PLC5_17PLC_9056</v>
      </c>
    </row>
    <row r="108" spans="1:13" s="1" customFormat="1" x14ac:dyDescent="0.25">
      <c r="A108" s="21"/>
      <c r="B108" s="7" t="s">
        <v>584</v>
      </c>
      <c r="C108" s="8" t="s">
        <v>477</v>
      </c>
      <c r="D108" s="19" t="s">
        <v>66</v>
      </c>
      <c r="E108" s="30" t="s">
        <v>31</v>
      </c>
      <c r="F108" s="31" t="s">
        <v>64</v>
      </c>
      <c r="G108" s="31" t="str">
        <f>_xlfn.IFNA(VLOOKUP(F108,'Look Table'!B$1:E$64,3,FALSE),"")</f>
        <v>AB</v>
      </c>
      <c r="H108" s="31" t="str">
        <f>_xlfn.IFNA(VLOOKUP(F108,'Look Table'!B$1:E$64,4,FALSE),"")</f>
        <v>PLC5</v>
      </c>
      <c r="I108" s="41" t="s">
        <v>463</v>
      </c>
      <c r="J108" s="31" t="str">
        <f t="shared" si="1"/>
        <v>LAR_CAR</v>
      </c>
      <c r="K108" s="3" t="str">
        <f>J108&amp;"_"&amp;E108&amp;IF(ISNUMBER(SEARCH("PAS",G108)),"","_")&amp;(_xlfn.TEXTJOIN("_",TRUE,IF(G108 &lt;&gt; "PAS",G108:H108,""))&amp;(IF(Table1[[#This Row],[Sub-Area]]&lt;&gt;"",_xlfn.CONCAT("_",Table1[[#This Row],[Sub-Area]]),"")))</f>
        <v>LAR_CAR_PLC_AB_PLC5_23PLC_9203</v>
      </c>
      <c r="L108" s="32" t="str">
        <f>IF(I108 &lt;&gt; "",I108&amp;":\PAS\CBR\ProcessedFiles\"&amp;Table1[[#This Row],[Units]]&amp;"\"&amp;Table1[[#This Row],[Asset Type]]&amp;"\"&amp;K108,"")</f>
        <v>D:\PAS\CBR\ProcessedFiles\CAR\PLC\LAR_CAR_PLC_AB_PLC5_23PLC_9203</v>
      </c>
      <c r="M108" s="33" t="str">
        <f>"MKDIR "&amp;Table1[[#This Row],[Suggested Folder Naming]]</f>
        <v>MKDIR D:\PAS\CBR\ProcessedFiles\CAR\PLC\LAR_CAR_PLC_AB_PLC5_23PLC_9203</v>
      </c>
    </row>
    <row r="109" spans="1:13" s="1" customFormat="1" x14ac:dyDescent="0.25">
      <c r="A109" s="21"/>
      <c r="B109" s="7" t="s">
        <v>584</v>
      </c>
      <c r="C109" s="8" t="s">
        <v>477</v>
      </c>
      <c r="D109" s="19" t="s">
        <v>67</v>
      </c>
      <c r="E109" s="30" t="s">
        <v>31</v>
      </c>
      <c r="F109" s="31" t="s">
        <v>64</v>
      </c>
      <c r="G109" s="31" t="str">
        <f>_xlfn.IFNA(VLOOKUP(F109,'Look Table'!B$1:E$64,3,FALSE),"")</f>
        <v>AB</v>
      </c>
      <c r="H109" s="31" t="str">
        <f>_xlfn.IFNA(VLOOKUP(F109,'Look Table'!B$1:E$64,4,FALSE),"")</f>
        <v>PLC5</v>
      </c>
      <c r="I109" s="41" t="s">
        <v>463</v>
      </c>
      <c r="J109" s="31" t="str">
        <f t="shared" si="1"/>
        <v>LAR_CAR</v>
      </c>
      <c r="K109" s="3" t="str">
        <f>J109&amp;"_"&amp;E109&amp;IF(ISNUMBER(SEARCH("PAS",G109)),"","_")&amp;(_xlfn.TEXTJOIN("_",TRUE,IF(G109 &lt;&gt; "PAS",G109:H109,""))&amp;(IF(Table1[[#This Row],[Sub-Area]]&lt;&gt;"",_xlfn.CONCAT("_",Table1[[#This Row],[Sub-Area]]),"")))</f>
        <v>LAR_CAR_PLC_AB_PLC5_38PLC_9011</v>
      </c>
      <c r="L109" s="32" t="str">
        <f>IF(I109 &lt;&gt; "",I109&amp;":\PAS\CBR\ProcessedFiles\"&amp;Table1[[#This Row],[Units]]&amp;"\"&amp;Table1[[#This Row],[Asset Type]]&amp;"\"&amp;K109,"")</f>
        <v>D:\PAS\CBR\ProcessedFiles\CAR\PLC\LAR_CAR_PLC_AB_PLC5_38PLC_9011</v>
      </c>
      <c r="M109" s="33" t="str">
        <f>"MKDIR "&amp;Table1[[#This Row],[Suggested Folder Naming]]</f>
        <v>MKDIR D:\PAS\CBR\ProcessedFiles\CAR\PLC\LAR_CAR_PLC_AB_PLC5_38PLC_9011</v>
      </c>
    </row>
    <row r="110" spans="1:13" s="1" customFormat="1" x14ac:dyDescent="0.25">
      <c r="A110" s="21"/>
      <c r="B110" s="7" t="s">
        <v>584</v>
      </c>
      <c r="C110" s="8" t="s">
        <v>477</v>
      </c>
      <c r="D110" s="19" t="s">
        <v>68</v>
      </c>
      <c r="E110" s="30" t="s">
        <v>31</v>
      </c>
      <c r="F110" s="31" t="s">
        <v>64</v>
      </c>
      <c r="G110" s="31" t="s">
        <v>36</v>
      </c>
      <c r="H110" s="31" t="s">
        <v>400</v>
      </c>
      <c r="I110" s="41" t="s">
        <v>463</v>
      </c>
      <c r="J110" s="31" t="str">
        <f t="shared" si="1"/>
        <v>LAR_CAR</v>
      </c>
      <c r="K110" s="3" t="str">
        <f>J110&amp;"_"&amp;E110&amp;IF(ISNUMBER(SEARCH("PAS",G110)),"","_")&amp;(_xlfn.TEXTJOIN("_",TRUE,IF(G110 &lt;&gt; "PAS",G110:H110,""))&amp;(IF(Table1[[#This Row],[Sub-Area]]&lt;&gt;"",_xlfn.CONCAT("_",Table1[[#This Row],[Sub-Area]]),"")))</f>
        <v>LAR_CAR_PLC_AB_PLC5_62PLC_9206</v>
      </c>
      <c r="L110" s="32" t="str">
        <f>IF(I110 &lt;&gt; "",I110&amp;":\PAS\CBR\ProcessedFiles\"&amp;Table1[[#This Row],[Units]]&amp;"\"&amp;Table1[[#This Row],[Asset Type]]&amp;"\"&amp;K110,"")</f>
        <v>D:\PAS\CBR\ProcessedFiles\CAR\PLC\LAR_CAR_PLC_AB_PLC5_62PLC_9206</v>
      </c>
      <c r="M110" s="33" t="str">
        <f>"MKDIR "&amp;Table1[[#This Row],[Suggested Folder Naming]]</f>
        <v>MKDIR D:\PAS\CBR\ProcessedFiles\CAR\PLC\LAR_CAR_PLC_AB_PLC5_62PLC_9206</v>
      </c>
    </row>
    <row r="111" spans="1:13" s="1" customFormat="1" x14ac:dyDescent="0.25">
      <c r="A111" s="21"/>
      <c r="B111" s="7" t="s">
        <v>584</v>
      </c>
      <c r="C111" s="8" t="s">
        <v>477</v>
      </c>
      <c r="D111" s="19" t="s">
        <v>69</v>
      </c>
      <c r="E111" s="30" t="s">
        <v>31</v>
      </c>
      <c r="F111" s="31" t="s">
        <v>64</v>
      </c>
      <c r="G111" s="31" t="str">
        <f>_xlfn.IFNA(VLOOKUP(F111,'Look Table'!B$1:E$64,3,FALSE),"")</f>
        <v>AB</v>
      </c>
      <c r="H111" s="31" t="str">
        <f>_xlfn.IFNA(VLOOKUP(F111,'Look Table'!B$1:E$64,4,FALSE),"")</f>
        <v>PLC5</v>
      </c>
      <c r="I111" s="41" t="s">
        <v>463</v>
      </c>
      <c r="J111" s="31" t="str">
        <f t="shared" si="1"/>
        <v>LAR_CAR</v>
      </c>
      <c r="K111" s="3" t="str">
        <f>J111&amp;"_"&amp;E111&amp;IF(ISNUMBER(SEARCH("PAS",G111)),"","_")&amp;(_xlfn.TEXTJOIN("_",TRUE,IF(G111 &lt;&gt; "PAS",G111:H111,""))&amp;(IF(Table1[[#This Row],[Sub-Area]]&lt;&gt;"",_xlfn.CONCAT("_",Table1[[#This Row],[Sub-Area]]),"")))</f>
        <v>LAR_CAR_PLC_AB_PLC5_75PLC_9000</v>
      </c>
      <c r="L111" s="32" t="str">
        <f>IF(I111 &lt;&gt; "",I111&amp;":\PAS\CBR\ProcessedFiles\"&amp;Table1[[#This Row],[Units]]&amp;"\"&amp;Table1[[#This Row],[Asset Type]]&amp;"\"&amp;K111,"")</f>
        <v>D:\PAS\CBR\ProcessedFiles\CAR\PLC\LAR_CAR_PLC_AB_PLC5_75PLC_9000</v>
      </c>
      <c r="M111" s="33" t="str">
        <f>"MKDIR "&amp;Table1[[#This Row],[Suggested Folder Naming]]</f>
        <v>MKDIR D:\PAS\CBR\ProcessedFiles\CAR\PLC\LAR_CAR_PLC_AB_PLC5_75PLC_9000</v>
      </c>
    </row>
    <row r="112" spans="1:13" s="1" customFormat="1" x14ac:dyDescent="0.25">
      <c r="A112" s="21"/>
      <c r="B112" s="7" t="s">
        <v>584</v>
      </c>
      <c r="C112" s="8" t="s">
        <v>477</v>
      </c>
      <c r="D112" s="19" t="s">
        <v>70</v>
      </c>
      <c r="E112" s="30" t="s">
        <v>31</v>
      </c>
      <c r="F112" s="31" t="s">
        <v>64</v>
      </c>
      <c r="G112" s="31" t="str">
        <f>_xlfn.IFNA(VLOOKUP(F112,'Look Table'!B$1:E$64,3,FALSE),"")</f>
        <v>AB</v>
      </c>
      <c r="H112" s="31" t="str">
        <f>_xlfn.IFNA(VLOOKUP(F112,'Look Table'!B$1:E$64,4,FALSE),"")</f>
        <v>PLC5</v>
      </c>
      <c r="I112" s="41" t="s">
        <v>463</v>
      </c>
      <c r="J112" s="31" t="str">
        <f t="shared" si="1"/>
        <v>LAR_CAR</v>
      </c>
      <c r="K112" s="3" t="str">
        <f>J112&amp;"_"&amp;E112&amp;IF(ISNUMBER(SEARCH("PAS",G112)),"","_")&amp;(_xlfn.TEXTJOIN("_",TRUE,IF(G112 &lt;&gt; "PAS",G112:H112,""))&amp;(IF(Table1[[#This Row],[Sub-Area]]&lt;&gt;"",_xlfn.CONCAT("_",Table1[[#This Row],[Sub-Area]]),"")))</f>
        <v>LAR_CAR_PLC_AB_PLC5_75PLC_9001_30</v>
      </c>
      <c r="L112" s="32" t="str">
        <f>IF(I112 &lt;&gt; "",I112&amp;":\PAS\CBR\ProcessedFiles\"&amp;Table1[[#This Row],[Units]]&amp;"\"&amp;Table1[[#This Row],[Asset Type]]&amp;"\"&amp;K112,"")</f>
        <v>D:\PAS\CBR\ProcessedFiles\CAR\PLC\LAR_CAR_PLC_AB_PLC5_75PLC_9001_30</v>
      </c>
      <c r="M112" s="33" t="str">
        <f>"MKDIR "&amp;Table1[[#This Row],[Suggested Folder Naming]]</f>
        <v>MKDIR D:\PAS\CBR\ProcessedFiles\CAR\PLC\LAR_CAR_PLC_AB_PLC5_75PLC_9001_30</v>
      </c>
    </row>
    <row r="113" spans="1:13" s="1" customFormat="1" x14ac:dyDescent="0.25">
      <c r="A113" s="21"/>
      <c r="B113" s="7" t="s">
        <v>584</v>
      </c>
      <c r="C113" s="8" t="s">
        <v>477</v>
      </c>
      <c r="D113" s="19" t="s">
        <v>71</v>
      </c>
      <c r="E113" s="30" t="s">
        <v>31</v>
      </c>
      <c r="F113" s="31" t="s">
        <v>64</v>
      </c>
      <c r="G113" s="31" t="str">
        <f>_xlfn.IFNA(VLOOKUP(F113,'Look Table'!B$1:E$64,3,FALSE),"")</f>
        <v>AB</v>
      </c>
      <c r="H113" s="31" t="str">
        <f>_xlfn.IFNA(VLOOKUP(F113,'Look Table'!B$1:E$64,4,FALSE),"")</f>
        <v>PLC5</v>
      </c>
      <c r="I113" s="41" t="s">
        <v>463</v>
      </c>
      <c r="J113" s="31" t="str">
        <f t="shared" si="1"/>
        <v>LAR_CAR</v>
      </c>
      <c r="K113" s="3" t="str">
        <f>J113&amp;"_"&amp;E113&amp;IF(ISNUMBER(SEARCH("PAS",G113)),"","_")&amp;(_xlfn.TEXTJOIN("_",TRUE,IF(G113 &lt;&gt; "PAS",G113:H113,""))&amp;(IF(Table1[[#This Row],[Sub-Area]]&lt;&gt;"",_xlfn.CONCAT("_",Table1[[#This Row],[Sub-Area]]),"")))</f>
        <v>LAR_CAR_PLC_AB_PLC5_75PLC_9001_31</v>
      </c>
      <c r="L113" s="32" t="str">
        <f>IF(I113 &lt;&gt; "",I113&amp;":\PAS\CBR\ProcessedFiles\"&amp;Table1[[#This Row],[Units]]&amp;"\"&amp;Table1[[#This Row],[Asset Type]]&amp;"\"&amp;K113,"")</f>
        <v>D:\PAS\CBR\ProcessedFiles\CAR\PLC\LAR_CAR_PLC_AB_PLC5_75PLC_9001_31</v>
      </c>
      <c r="M113" s="33" t="str">
        <f>"MKDIR "&amp;Table1[[#This Row],[Suggested Folder Naming]]</f>
        <v>MKDIR D:\PAS\CBR\ProcessedFiles\CAR\PLC\LAR_CAR_PLC_AB_PLC5_75PLC_9001_31</v>
      </c>
    </row>
    <row r="114" spans="1:13" s="1" customFormat="1" x14ac:dyDescent="0.25">
      <c r="A114" s="21"/>
      <c r="B114" s="7" t="s">
        <v>584</v>
      </c>
      <c r="C114" s="8" t="s">
        <v>477</v>
      </c>
      <c r="D114" s="19" t="s">
        <v>72</v>
      </c>
      <c r="E114" s="30" t="s">
        <v>31</v>
      </c>
      <c r="F114" s="31" t="s">
        <v>64</v>
      </c>
      <c r="G114" s="31" t="str">
        <f>_xlfn.IFNA(VLOOKUP(F114,'Look Table'!B$1:E$64,3,FALSE),"")</f>
        <v>AB</v>
      </c>
      <c r="H114" s="31" t="str">
        <f>_xlfn.IFNA(VLOOKUP(F114,'Look Table'!B$1:E$64,4,FALSE),"")</f>
        <v>PLC5</v>
      </c>
      <c r="I114" s="41" t="s">
        <v>463</v>
      </c>
      <c r="J114" s="31" t="str">
        <f t="shared" si="1"/>
        <v>LAR_CAR</v>
      </c>
      <c r="K114" s="3" t="str">
        <f>J114&amp;"_"&amp;E114&amp;IF(ISNUMBER(SEARCH("PAS",G114)),"","_")&amp;(_xlfn.TEXTJOIN("_",TRUE,IF(G114 &lt;&gt; "PAS",G114:H114,""))&amp;(IF(Table1[[#This Row],[Sub-Area]]&lt;&gt;"",_xlfn.CONCAT("_",Table1[[#This Row],[Sub-Area]]),"")))</f>
        <v>LAR_CAR_PLC_AB_PLC5_75PLC_9002</v>
      </c>
      <c r="L114" s="32" t="str">
        <f>IF(I114 &lt;&gt; "",I114&amp;":\PAS\CBR\ProcessedFiles\"&amp;Table1[[#This Row],[Units]]&amp;"\"&amp;Table1[[#This Row],[Asset Type]]&amp;"\"&amp;K114,"")</f>
        <v>D:\PAS\CBR\ProcessedFiles\CAR\PLC\LAR_CAR_PLC_AB_PLC5_75PLC_9002</v>
      </c>
      <c r="M114" s="33" t="str">
        <f>"MKDIR "&amp;Table1[[#This Row],[Suggested Folder Naming]]</f>
        <v>MKDIR D:\PAS\CBR\ProcessedFiles\CAR\PLC\LAR_CAR_PLC_AB_PLC5_75PLC_9002</v>
      </c>
    </row>
    <row r="115" spans="1:13" s="1" customFormat="1" x14ac:dyDescent="0.25">
      <c r="A115" s="21"/>
      <c r="B115" s="7" t="s">
        <v>584</v>
      </c>
      <c r="C115" s="8" t="s">
        <v>477</v>
      </c>
      <c r="D115" s="19" t="s">
        <v>73</v>
      </c>
      <c r="E115" s="30" t="s">
        <v>31</v>
      </c>
      <c r="F115" s="31" t="s">
        <v>64</v>
      </c>
      <c r="G115" s="31" t="str">
        <f>_xlfn.IFNA(VLOOKUP(F115,'Look Table'!B$1:E$64,3,FALSE),"")</f>
        <v>AB</v>
      </c>
      <c r="H115" s="31" t="str">
        <f>_xlfn.IFNA(VLOOKUP(F115,'Look Table'!B$1:E$64,4,FALSE),"")</f>
        <v>PLC5</v>
      </c>
      <c r="I115" s="41" t="s">
        <v>463</v>
      </c>
      <c r="J115" s="31" t="str">
        <f t="shared" si="1"/>
        <v>LAR_CAR</v>
      </c>
      <c r="K115" s="3" t="str">
        <f>J115&amp;"_"&amp;E115&amp;IF(ISNUMBER(SEARCH("PAS",G115)),"","_")&amp;(_xlfn.TEXTJOIN("_",TRUE,IF(G115 &lt;&gt; "PAS",G115:H115,""))&amp;(IF(Table1[[#This Row],[Sub-Area]]&lt;&gt;"",_xlfn.CONCAT("_",Table1[[#This Row],[Sub-Area]]),"")))</f>
        <v>LAR_CAR_PLC_AB_PLC5_75PLC_9003</v>
      </c>
      <c r="L115" s="32" t="str">
        <f>IF(I115 &lt;&gt; "",I115&amp;":\PAS\CBR\ProcessedFiles\"&amp;Table1[[#This Row],[Units]]&amp;"\"&amp;Table1[[#This Row],[Asset Type]]&amp;"\"&amp;K115,"")</f>
        <v>D:\PAS\CBR\ProcessedFiles\CAR\PLC\LAR_CAR_PLC_AB_PLC5_75PLC_9003</v>
      </c>
      <c r="M115" s="33" t="str">
        <f>"MKDIR "&amp;Table1[[#This Row],[Suggested Folder Naming]]</f>
        <v>MKDIR D:\PAS\CBR\ProcessedFiles\CAR\PLC\LAR_CAR_PLC_AB_PLC5_75PLC_9003</v>
      </c>
    </row>
    <row r="116" spans="1:13" s="1" customFormat="1" x14ac:dyDescent="0.25">
      <c r="A116" s="21"/>
      <c r="B116" s="7" t="s">
        <v>584</v>
      </c>
      <c r="C116" s="8" t="s">
        <v>477</v>
      </c>
      <c r="D116" s="19" t="s">
        <v>74</v>
      </c>
      <c r="E116" s="30" t="s">
        <v>31</v>
      </c>
      <c r="F116" s="31" t="s">
        <v>64</v>
      </c>
      <c r="G116" s="31" t="str">
        <f>_xlfn.IFNA(VLOOKUP(F116,'Look Table'!B$1:E$64,3,FALSE),"")</f>
        <v>AB</v>
      </c>
      <c r="H116" s="31" t="str">
        <f>_xlfn.IFNA(VLOOKUP(F116,'Look Table'!B$1:E$64,4,FALSE),"")</f>
        <v>PLC5</v>
      </c>
      <c r="I116" s="41" t="s">
        <v>463</v>
      </c>
      <c r="J116" s="31" t="str">
        <f t="shared" si="1"/>
        <v>LAR_CAR</v>
      </c>
      <c r="K116" s="3" t="str">
        <f>J116&amp;"_"&amp;E116&amp;IF(ISNUMBER(SEARCH("PAS",G116)),"","_")&amp;(_xlfn.TEXTJOIN("_",TRUE,IF(G116 &lt;&gt; "PAS",G116:H116,""))&amp;(IF(Table1[[#This Row],[Sub-Area]]&lt;&gt;"",_xlfn.CONCAT("_",Table1[[#This Row],[Sub-Area]]),"")))</f>
        <v>LAR_CAR_PLC_AB_PLC5_75PLC_9004</v>
      </c>
      <c r="L116" s="32" t="str">
        <f>IF(I116 &lt;&gt; "",I116&amp;":\PAS\CBR\ProcessedFiles\"&amp;Table1[[#This Row],[Units]]&amp;"\"&amp;Table1[[#This Row],[Asset Type]]&amp;"\"&amp;K116,"")</f>
        <v>D:\PAS\CBR\ProcessedFiles\CAR\PLC\LAR_CAR_PLC_AB_PLC5_75PLC_9004</v>
      </c>
      <c r="M116" s="33" t="str">
        <f>"MKDIR "&amp;Table1[[#This Row],[Suggested Folder Naming]]</f>
        <v>MKDIR D:\PAS\CBR\ProcessedFiles\CAR\PLC\LAR_CAR_PLC_AB_PLC5_75PLC_9004</v>
      </c>
    </row>
    <row r="117" spans="1:13" s="1" customFormat="1" x14ac:dyDescent="0.25">
      <c r="A117" s="21"/>
      <c r="B117" s="7" t="s">
        <v>584</v>
      </c>
      <c r="C117" s="8" t="s">
        <v>477</v>
      </c>
      <c r="D117" s="19" t="s">
        <v>75</v>
      </c>
      <c r="E117" s="30" t="s">
        <v>31</v>
      </c>
      <c r="F117" s="31" t="s">
        <v>64</v>
      </c>
      <c r="G117" s="31" t="str">
        <f>_xlfn.IFNA(VLOOKUP(F117,'Look Table'!B$1:E$64,3,FALSE),"")</f>
        <v>AB</v>
      </c>
      <c r="H117" s="31" t="str">
        <f>_xlfn.IFNA(VLOOKUP(F117,'Look Table'!B$1:E$64,4,FALSE),"")</f>
        <v>PLC5</v>
      </c>
      <c r="I117" s="41" t="s">
        <v>463</v>
      </c>
      <c r="J117" s="31" t="str">
        <f t="shared" si="1"/>
        <v>LAR_CAR</v>
      </c>
      <c r="K117" s="3" t="str">
        <f>J117&amp;"_"&amp;E117&amp;IF(ISNUMBER(SEARCH("PAS",G117)),"","_")&amp;(_xlfn.TEXTJOIN("_",TRUE,IF(G117 &lt;&gt; "PAS",G117:H117,""))&amp;(IF(Table1[[#This Row],[Sub-Area]]&lt;&gt;"",_xlfn.CONCAT("_",Table1[[#This Row],[Sub-Area]]),"")))</f>
        <v>LAR_CAR_PLC_AB_PLC5_75PLC_9005</v>
      </c>
      <c r="L117" s="32" t="str">
        <f>IF(I117 &lt;&gt; "",I117&amp;":\PAS\CBR\ProcessedFiles\"&amp;Table1[[#This Row],[Units]]&amp;"\"&amp;Table1[[#This Row],[Asset Type]]&amp;"\"&amp;K117,"")</f>
        <v>D:\PAS\CBR\ProcessedFiles\CAR\PLC\LAR_CAR_PLC_AB_PLC5_75PLC_9005</v>
      </c>
      <c r="M117" s="33" t="str">
        <f>"MKDIR "&amp;Table1[[#This Row],[Suggested Folder Naming]]</f>
        <v>MKDIR D:\PAS\CBR\ProcessedFiles\CAR\PLC\LAR_CAR_PLC_AB_PLC5_75PLC_9005</v>
      </c>
    </row>
    <row r="118" spans="1:13" s="1" customFormat="1" x14ac:dyDescent="0.25">
      <c r="A118" s="21"/>
      <c r="B118" s="7" t="s">
        <v>584</v>
      </c>
      <c r="C118" s="8" t="s">
        <v>477</v>
      </c>
      <c r="D118" s="19" t="s">
        <v>76</v>
      </c>
      <c r="E118" s="30" t="s">
        <v>31</v>
      </c>
      <c r="F118" s="31" t="s">
        <v>64</v>
      </c>
      <c r="G118" s="31" t="str">
        <f>_xlfn.IFNA(VLOOKUP(F118,'Look Table'!B$1:E$64,3,FALSE),"")</f>
        <v>AB</v>
      </c>
      <c r="H118" s="31" t="str">
        <f>_xlfn.IFNA(VLOOKUP(F118,'Look Table'!B$1:E$64,4,FALSE),"")</f>
        <v>PLC5</v>
      </c>
      <c r="I118" s="41" t="s">
        <v>463</v>
      </c>
      <c r="J118" s="31" t="str">
        <f t="shared" si="1"/>
        <v>LAR_CAR</v>
      </c>
      <c r="K118" s="3" t="str">
        <f>J118&amp;"_"&amp;E118&amp;IF(ISNUMBER(SEARCH("PAS",G118)),"","_")&amp;(_xlfn.TEXTJOIN("_",TRUE,IF(G118 &lt;&gt; "PAS",G118:H118,""))&amp;(IF(Table1[[#This Row],[Sub-Area]]&lt;&gt;"",_xlfn.CONCAT("_",Table1[[#This Row],[Sub-Area]]),"")))</f>
        <v>LAR_CAR_PLC_AB_PLC5_75PLC_9006</v>
      </c>
      <c r="L118" s="32" t="str">
        <f>IF(I118 &lt;&gt; "",I118&amp;":\PAS\CBR\ProcessedFiles\"&amp;Table1[[#This Row],[Units]]&amp;"\"&amp;Table1[[#This Row],[Asset Type]]&amp;"\"&amp;K118,"")</f>
        <v>D:\PAS\CBR\ProcessedFiles\CAR\PLC\LAR_CAR_PLC_AB_PLC5_75PLC_9006</v>
      </c>
      <c r="M118" s="33" t="str">
        <f>"MKDIR "&amp;Table1[[#This Row],[Suggested Folder Naming]]</f>
        <v>MKDIR D:\PAS\CBR\ProcessedFiles\CAR\PLC\LAR_CAR_PLC_AB_PLC5_75PLC_9006</v>
      </c>
    </row>
    <row r="119" spans="1:13" s="1" customFormat="1" x14ac:dyDescent="0.25">
      <c r="A119" s="21"/>
      <c r="B119" s="7" t="s">
        <v>584</v>
      </c>
      <c r="C119" s="8" t="s">
        <v>477</v>
      </c>
      <c r="D119" s="19" t="s">
        <v>77</v>
      </c>
      <c r="E119" s="30" t="s">
        <v>31</v>
      </c>
      <c r="F119" s="31" t="s">
        <v>64</v>
      </c>
      <c r="G119" s="31" t="str">
        <f>_xlfn.IFNA(VLOOKUP(F119,'Look Table'!B$1:E$64,3,FALSE),"")</f>
        <v>AB</v>
      </c>
      <c r="H119" s="31" t="str">
        <f>_xlfn.IFNA(VLOOKUP(F119,'Look Table'!B$1:E$64,4,FALSE),"")</f>
        <v>PLC5</v>
      </c>
      <c r="I119" s="41" t="s">
        <v>463</v>
      </c>
      <c r="J119" s="31" t="str">
        <f t="shared" si="1"/>
        <v>LAR_CAR</v>
      </c>
      <c r="K119" s="3" t="str">
        <f>J119&amp;"_"&amp;E119&amp;IF(ISNUMBER(SEARCH("PAS",G119)),"","_")&amp;(_xlfn.TEXTJOIN("_",TRUE,IF(G119 &lt;&gt; "PAS",G119:H119,""))&amp;(IF(Table1[[#This Row],[Sub-Area]]&lt;&gt;"",_xlfn.CONCAT("_",Table1[[#This Row],[Sub-Area]]),"")))</f>
        <v>LAR_CAR_PLC_AB_PLC5_75PLC_9007</v>
      </c>
      <c r="L119" s="32" t="str">
        <f>IF(I119 &lt;&gt; "",I119&amp;":\PAS\CBR\ProcessedFiles\"&amp;Table1[[#This Row],[Units]]&amp;"\"&amp;Table1[[#This Row],[Asset Type]]&amp;"\"&amp;K119,"")</f>
        <v>D:\PAS\CBR\ProcessedFiles\CAR\PLC\LAR_CAR_PLC_AB_PLC5_75PLC_9007</v>
      </c>
      <c r="M119" s="33" t="str">
        <f>"MKDIR "&amp;Table1[[#This Row],[Suggested Folder Naming]]</f>
        <v>MKDIR D:\PAS\CBR\ProcessedFiles\CAR\PLC\LAR_CAR_PLC_AB_PLC5_75PLC_9007</v>
      </c>
    </row>
    <row r="120" spans="1:13" s="1" customFormat="1" x14ac:dyDescent="0.25">
      <c r="A120" s="21"/>
      <c r="B120" s="7" t="s">
        <v>584</v>
      </c>
      <c r="C120" s="8" t="s">
        <v>477</v>
      </c>
      <c r="D120" s="19" t="s">
        <v>78</v>
      </c>
      <c r="E120" s="30" t="s">
        <v>31</v>
      </c>
      <c r="F120" s="31" t="s">
        <v>64</v>
      </c>
      <c r="G120" s="31" t="str">
        <f>_xlfn.IFNA(VLOOKUP(F120,'Look Table'!B$1:E$64,3,FALSE),"")</f>
        <v>AB</v>
      </c>
      <c r="H120" s="31" t="str">
        <f>_xlfn.IFNA(VLOOKUP(F120,'Look Table'!B$1:E$64,4,FALSE),"")</f>
        <v>PLC5</v>
      </c>
      <c r="I120" s="41" t="s">
        <v>463</v>
      </c>
      <c r="J120" s="31" t="str">
        <f t="shared" si="1"/>
        <v>LAR_CAR</v>
      </c>
      <c r="K120" s="3" t="str">
        <f>J120&amp;"_"&amp;E120&amp;IF(ISNUMBER(SEARCH("PAS",G120)),"","_")&amp;(_xlfn.TEXTJOIN("_",TRUE,IF(G120 &lt;&gt; "PAS",G120:H120,""))&amp;(IF(Table1[[#This Row],[Sub-Area]]&lt;&gt;"",_xlfn.CONCAT("_",Table1[[#This Row],[Sub-Area]]),"")))</f>
        <v>LAR_CAR_PLC_AB_PLC5_75PLC_9008</v>
      </c>
      <c r="L120" s="32" t="str">
        <f>IF(I120 &lt;&gt; "",I120&amp;":\PAS\CBR\ProcessedFiles\"&amp;Table1[[#This Row],[Units]]&amp;"\"&amp;Table1[[#This Row],[Asset Type]]&amp;"\"&amp;K120,"")</f>
        <v>D:\PAS\CBR\ProcessedFiles\CAR\PLC\LAR_CAR_PLC_AB_PLC5_75PLC_9008</v>
      </c>
      <c r="M120" s="33" t="str">
        <f>"MKDIR "&amp;Table1[[#This Row],[Suggested Folder Naming]]</f>
        <v>MKDIR D:\PAS\CBR\ProcessedFiles\CAR\PLC\LAR_CAR_PLC_AB_PLC5_75PLC_9008</v>
      </c>
    </row>
    <row r="121" spans="1:13" s="1" customFormat="1" x14ac:dyDescent="0.25">
      <c r="A121" s="21"/>
      <c r="B121" s="7" t="s">
        <v>584</v>
      </c>
      <c r="C121" s="8" t="s">
        <v>477</v>
      </c>
      <c r="D121" s="19" t="s">
        <v>79</v>
      </c>
      <c r="E121" s="30" t="s">
        <v>31</v>
      </c>
      <c r="F121" s="31" t="s">
        <v>64</v>
      </c>
      <c r="G121" s="31" t="str">
        <f>_xlfn.IFNA(VLOOKUP(F121,'Look Table'!B$1:E$64,3,FALSE),"")</f>
        <v>AB</v>
      </c>
      <c r="H121" s="31" t="str">
        <f>_xlfn.IFNA(VLOOKUP(F121,'Look Table'!B$1:E$64,4,FALSE),"")</f>
        <v>PLC5</v>
      </c>
      <c r="I121" s="41" t="s">
        <v>463</v>
      </c>
      <c r="J121" s="31" t="str">
        <f t="shared" si="1"/>
        <v>LAR_CAR</v>
      </c>
      <c r="K121" s="3" t="str">
        <f>J121&amp;"_"&amp;E121&amp;IF(ISNUMBER(SEARCH("PAS",G121)),"","_")&amp;(_xlfn.TEXTJOIN("_",TRUE,IF(G121 &lt;&gt; "PAS",G121:H121,""))&amp;(IF(Table1[[#This Row],[Sub-Area]]&lt;&gt;"",_xlfn.CONCAT("_",Table1[[#This Row],[Sub-Area]]),"")))</f>
        <v>LAR_CAR_PLC_AB_PLC5_75PLC_9009</v>
      </c>
      <c r="L121" s="32" t="str">
        <f>IF(I121 &lt;&gt; "",I121&amp;":\PAS\CBR\ProcessedFiles\"&amp;Table1[[#This Row],[Units]]&amp;"\"&amp;Table1[[#This Row],[Asset Type]]&amp;"\"&amp;K121,"")</f>
        <v>D:\PAS\CBR\ProcessedFiles\CAR\PLC\LAR_CAR_PLC_AB_PLC5_75PLC_9009</v>
      </c>
      <c r="M121" s="33" t="str">
        <f>"MKDIR "&amp;Table1[[#This Row],[Suggested Folder Naming]]</f>
        <v>MKDIR D:\PAS\CBR\ProcessedFiles\CAR\PLC\LAR_CAR_PLC_AB_PLC5_75PLC_9009</v>
      </c>
    </row>
    <row r="122" spans="1:13" s="1" customFormat="1" x14ac:dyDescent="0.25">
      <c r="A122" s="21"/>
      <c r="B122" s="7" t="s">
        <v>584</v>
      </c>
      <c r="C122" s="8" t="s">
        <v>477</v>
      </c>
      <c r="D122" s="19" t="s">
        <v>80</v>
      </c>
      <c r="E122" s="30" t="s">
        <v>31</v>
      </c>
      <c r="F122" s="31" t="s">
        <v>64</v>
      </c>
      <c r="G122" s="31" t="str">
        <f>_xlfn.IFNA(VLOOKUP(F122,'Look Table'!B$1:E$64,3,FALSE),"")</f>
        <v>AB</v>
      </c>
      <c r="H122" s="31" t="str">
        <f>_xlfn.IFNA(VLOOKUP(F122,'Look Table'!B$1:E$64,4,FALSE),"")</f>
        <v>PLC5</v>
      </c>
      <c r="I122" s="41" t="s">
        <v>463</v>
      </c>
      <c r="J122" s="31" t="str">
        <f t="shared" si="1"/>
        <v>LAR_CAR</v>
      </c>
      <c r="K122" s="3" t="str">
        <f>J122&amp;"_"&amp;E122&amp;IF(ISNUMBER(SEARCH("PAS",G122)),"","_")&amp;(_xlfn.TEXTJOIN("_",TRUE,IF(G122 &lt;&gt; "PAS",G122:H122,""))&amp;(IF(Table1[[#This Row],[Sub-Area]]&lt;&gt;"",_xlfn.CONCAT("_",Table1[[#This Row],[Sub-Area]]),"")))</f>
        <v>LAR_CAR_PLC_AB_PLC5_75PLC_9010</v>
      </c>
      <c r="L122" s="32" t="str">
        <f>IF(I122 &lt;&gt; "",I122&amp;":\PAS\CBR\ProcessedFiles\"&amp;Table1[[#This Row],[Units]]&amp;"\"&amp;Table1[[#This Row],[Asset Type]]&amp;"\"&amp;K122,"")</f>
        <v>D:\PAS\CBR\ProcessedFiles\CAR\PLC\LAR_CAR_PLC_AB_PLC5_75PLC_9010</v>
      </c>
      <c r="M122" s="33" t="str">
        <f>"MKDIR "&amp;Table1[[#This Row],[Suggested Folder Naming]]</f>
        <v>MKDIR D:\PAS\CBR\ProcessedFiles\CAR\PLC\LAR_CAR_PLC_AB_PLC5_75PLC_9010</v>
      </c>
    </row>
    <row r="123" spans="1:13" s="1" customFormat="1" x14ac:dyDescent="0.25">
      <c r="A123" s="21"/>
      <c r="B123" s="7" t="s">
        <v>584</v>
      </c>
      <c r="C123" s="8" t="s">
        <v>477</v>
      </c>
      <c r="D123" s="19" t="s">
        <v>81</v>
      </c>
      <c r="E123" s="30" t="s">
        <v>31</v>
      </c>
      <c r="F123" s="31" t="s">
        <v>64</v>
      </c>
      <c r="G123" s="31" t="str">
        <f>_xlfn.IFNA(VLOOKUP(F123,'Look Table'!B$1:E$64,3,FALSE),"")</f>
        <v>AB</v>
      </c>
      <c r="H123" s="31" t="str">
        <f>_xlfn.IFNA(VLOOKUP(F123,'Look Table'!B$1:E$64,4,FALSE),"")</f>
        <v>PLC5</v>
      </c>
      <c r="I123" s="41" t="s">
        <v>463</v>
      </c>
      <c r="J123" s="31" t="str">
        <f t="shared" si="1"/>
        <v>LAR_CAR</v>
      </c>
      <c r="K123" s="3" t="str">
        <f>J123&amp;"_"&amp;E123&amp;IF(ISNUMBER(SEARCH("PAS",G123)),"","_")&amp;(_xlfn.TEXTJOIN("_",TRUE,IF(G123 &lt;&gt; "PAS",G123:H123,""))&amp;(IF(Table1[[#This Row],[Sub-Area]]&lt;&gt;"",_xlfn.CONCAT("_",Table1[[#This Row],[Sub-Area]]),"")))</f>
        <v>LAR_CAR_PLC_AB_PLC5_75PLC_9016</v>
      </c>
      <c r="L123" s="32" t="str">
        <f>IF(I123 &lt;&gt; "",I123&amp;":\PAS\CBR\ProcessedFiles\"&amp;Table1[[#This Row],[Units]]&amp;"\"&amp;Table1[[#This Row],[Asset Type]]&amp;"\"&amp;K123,"")</f>
        <v>D:\PAS\CBR\ProcessedFiles\CAR\PLC\LAR_CAR_PLC_AB_PLC5_75PLC_9016</v>
      </c>
      <c r="M123" s="33" t="str">
        <f>"MKDIR "&amp;Table1[[#This Row],[Suggested Folder Naming]]</f>
        <v>MKDIR D:\PAS\CBR\ProcessedFiles\CAR\PLC\LAR_CAR_PLC_AB_PLC5_75PLC_9016</v>
      </c>
    </row>
    <row r="124" spans="1:13" s="1" customFormat="1" x14ac:dyDescent="0.25">
      <c r="A124" s="21"/>
      <c r="B124" s="7" t="s">
        <v>584</v>
      </c>
      <c r="C124" s="8" t="s">
        <v>477</v>
      </c>
      <c r="D124" s="19" t="s">
        <v>82</v>
      </c>
      <c r="E124" s="30" t="s">
        <v>31</v>
      </c>
      <c r="F124" s="31" t="s">
        <v>64</v>
      </c>
      <c r="G124" s="31" t="str">
        <f>_xlfn.IFNA(VLOOKUP(F124,'Look Table'!B$1:E$64,3,FALSE),"")</f>
        <v>AB</v>
      </c>
      <c r="H124" s="31" t="str">
        <f>_xlfn.IFNA(VLOOKUP(F124,'Look Table'!B$1:E$64,4,FALSE),"")</f>
        <v>PLC5</v>
      </c>
      <c r="I124" s="41" t="s">
        <v>463</v>
      </c>
      <c r="J124" s="31" t="str">
        <f t="shared" si="1"/>
        <v>LAR_CAR</v>
      </c>
      <c r="K124" s="3" t="str">
        <f>J124&amp;"_"&amp;E124&amp;IF(ISNUMBER(SEARCH("PAS",G124)),"","_")&amp;(_xlfn.TEXTJOIN("_",TRUE,IF(G124 &lt;&gt; "PAS",G124:H124,""))&amp;(IF(Table1[[#This Row],[Sub-Area]]&lt;&gt;"",_xlfn.CONCAT("_",Table1[[#This Row],[Sub-Area]]),"")))</f>
        <v>LAR_CAR_PLC_AB_PLC5_75PLC_9017</v>
      </c>
      <c r="L124" s="32" t="str">
        <f>IF(I124 &lt;&gt; "",I124&amp;":\PAS\CBR\ProcessedFiles\"&amp;Table1[[#This Row],[Units]]&amp;"\"&amp;Table1[[#This Row],[Asset Type]]&amp;"\"&amp;K124,"")</f>
        <v>D:\PAS\CBR\ProcessedFiles\CAR\PLC\LAR_CAR_PLC_AB_PLC5_75PLC_9017</v>
      </c>
      <c r="M124" s="33" t="str">
        <f>"MKDIR "&amp;Table1[[#This Row],[Suggested Folder Naming]]</f>
        <v>MKDIR D:\PAS\CBR\ProcessedFiles\CAR\PLC\LAR_CAR_PLC_AB_PLC5_75PLC_9017</v>
      </c>
    </row>
    <row r="125" spans="1:13" s="1" customFormat="1" x14ac:dyDescent="0.25">
      <c r="A125" s="21"/>
      <c r="B125" s="7" t="s">
        <v>584</v>
      </c>
      <c r="C125" s="8" t="s">
        <v>477</v>
      </c>
      <c r="D125" s="19" t="s">
        <v>83</v>
      </c>
      <c r="E125" s="30" t="s">
        <v>31</v>
      </c>
      <c r="F125" s="31" t="s">
        <v>64</v>
      </c>
      <c r="G125" s="31" t="str">
        <f>_xlfn.IFNA(VLOOKUP(F125,'Look Table'!B$1:E$64,3,FALSE),"")</f>
        <v>AB</v>
      </c>
      <c r="H125" s="31" t="str">
        <f>_xlfn.IFNA(VLOOKUP(F125,'Look Table'!B$1:E$64,4,FALSE),"")</f>
        <v>PLC5</v>
      </c>
      <c r="I125" s="41" t="s">
        <v>463</v>
      </c>
      <c r="J125" s="31" t="str">
        <f t="shared" si="1"/>
        <v>LAR_CAR</v>
      </c>
      <c r="K125" s="3" t="str">
        <f>J125&amp;"_"&amp;E125&amp;IF(ISNUMBER(SEARCH("PAS",G125)),"","_")&amp;(_xlfn.TEXTJOIN("_",TRUE,IF(G125 &lt;&gt; "PAS",G125:H125,""))&amp;(IF(Table1[[#This Row],[Sub-Area]]&lt;&gt;"",_xlfn.CONCAT("_",Table1[[#This Row],[Sub-Area]]),"")))</f>
        <v>LAR_CAR_PLC_AB_PLC5_75PLC_9019</v>
      </c>
      <c r="L125" s="32" t="str">
        <f>IF(I125 &lt;&gt; "",I125&amp;":\PAS\CBR\ProcessedFiles\"&amp;Table1[[#This Row],[Units]]&amp;"\"&amp;Table1[[#This Row],[Asset Type]]&amp;"\"&amp;K125,"")</f>
        <v>D:\PAS\CBR\ProcessedFiles\CAR\PLC\LAR_CAR_PLC_AB_PLC5_75PLC_9019</v>
      </c>
      <c r="M125" s="33" t="str">
        <f>"MKDIR "&amp;Table1[[#This Row],[Suggested Folder Naming]]</f>
        <v>MKDIR D:\PAS\CBR\ProcessedFiles\CAR\PLC\LAR_CAR_PLC_AB_PLC5_75PLC_9019</v>
      </c>
    </row>
    <row r="126" spans="1:13" s="1" customFormat="1" x14ac:dyDescent="0.25">
      <c r="A126" s="21"/>
      <c r="B126" s="7" t="s">
        <v>584</v>
      </c>
      <c r="C126" s="8" t="s">
        <v>477</v>
      </c>
      <c r="D126" s="19" t="s">
        <v>84</v>
      </c>
      <c r="E126" s="30" t="s">
        <v>31</v>
      </c>
      <c r="F126" s="31" t="s">
        <v>64</v>
      </c>
      <c r="G126" s="31" t="str">
        <f>_xlfn.IFNA(VLOOKUP(F126,'Look Table'!B$1:E$64,3,FALSE),"")</f>
        <v>AB</v>
      </c>
      <c r="H126" s="31" t="str">
        <f>_xlfn.IFNA(VLOOKUP(F126,'Look Table'!B$1:E$64,4,FALSE),"")</f>
        <v>PLC5</v>
      </c>
      <c r="I126" s="41" t="s">
        <v>463</v>
      </c>
      <c r="J126" s="31" t="str">
        <f t="shared" si="1"/>
        <v>LAR_CAR</v>
      </c>
      <c r="K126" s="3" t="str">
        <f>J126&amp;"_"&amp;E126&amp;IF(ISNUMBER(SEARCH("PAS",G126)),"","_")&amp;(_xlfn.TEXTJOIN("_",TRUE,IF(G126 &lt;&gt; "PAS",G126:H126,""))&amp;(IF(Table1[[#This Row],[Sub-Area]]&lt;&gt;"",_xlfn.CONCAT("_",Table1[[#This Row],[Sub-Area]]),"")))</f>
        <v>LAR_CAR_PLC_AB_PLC5_75PLC_9020</v>
      </c>
      <c r="L126" s="32" t="str">
        <f>IF(I126 &lt;&gt; "",I126&amp;":\PAS\CBR\ProcessedFiles\"&amp;Table1[[#This Row],[Units]]&amp;"\"&amp;Table1[[#This Row],[Asset Type]]&amp;"\"&amp;K126,"")</f>
        <v>D:\PAS\CBR\ProcessedFiles\CAR\PLC\LAR_CAR_PLC_AB_PLC5_75PLC_9020</v>
      </c>
      <c r="M126" s="33" t="str">
        <f>"MKDIR "&amp;Table1[[#This Row],[Suggested Folder Naming]]</f>
        <v>MKDIR D:\PAS\CBR\ProcessedFiles\CAR\PLC\LAR_CAR_PLC_AB_PLC5_75PLC_9020</v>
      </c>
    </row>
    <row r="127" spans="1:13" s="1" customFormat="1" x14ac:dyDescent="0.25">
      <c r="A127" s="21"/>
      <c r="B127" s="7" t="s">
        <v>584</v>
      </c>
      <c r="C127" s="8" t="s">
        <v>477</v>
      </c>
      <c r="D127" s="19" t="s">
        <v>85</v>
      </c>
      <c r="E127" s="30" t="s">
        <v>31</v>
      </c>
      <c r="F127" s="31" t="s">
        <v>64</v>
      </c>
      <c r="G127" s="31" t="str">
        <f>_xlfn.IFNA(VLOOKUP(F127,'Look Table'!B$1:E$64,3,FALSE),"")</f>
        <v>AB</v>
      </c>
      <c r="H127" s="31" t="str">
        <f>_xlfn.IFNA(VLOOKUP(F127,'Look Table'!B$1:E$64,4,FALSE),"")</f>
        <v>PLC5</v>
      </c>
      <c r="I127" s="41" t="s">
        <v>463</v>
      </c>
      <c r="J127" s="31" t="str">
        <f t="shared" si="1"/>
        <v>LAR_CAR</v>
      </c>
      <c r="K127" s="3" t="str">
        <f>J127&amp;"_"&amp;E127&amp;IF(ISNUMBER(SEARCH("PAS",G127)),"","_")&amp;(_xlfn.TEXTJOIN("_",TRUE,IF(G127 &lt;&gt; "PAS",G127:H127,""))&amp;(IF(Table1[[#This Row],[Sub-Area]]&lt;&gt;"",_xlfn.CONCAT("_",Table1[[#This Row],[Sub-Area]]),"")))</f>
        <v>LAR_CAR_PLC_AB_PLC5_76PLC</v>
      </c>
      <c r="L127" s="32" t="str">
        <f>IF(I127 &lt;&gt; "",I127&amp;":\PAS\CBR\ProcessedFiles\"&amp;Table1[[#This Row],[Units]]&amp;"\"&amp;Table1[[#This Row],[Asset Type]]&amp;"\"&amp;K127,"")</f>
        <v>D:\PAS\CBR\ProcessedFiles\CAR\PLC\LAR_CAR_PLC_AB_PLC5_76PLC</v>
      </c>
      <c r="M127" s="33" t="str">
        <f>"MKDIR "&amp;Table1[[#This Row],[Suggested Folder Naming]]</f>
        <v>MKDIR D:\PAS\CBR\ProcessedFiles\CAR\PLC\LAR_CAR_PLC_AB_PLC5_76PLC</v>
      </c>
    </row>
    <row r="128" spans="1:13" s="1" customFormat="1" x14ac:dyDescent="0.25">
      <c r="A128" s="21"/>
      <c r="B128" s="7" t="s">
        <v>584</v>
      </c>
      <c r="C128" s="8" t="s">
        <v>477</v>
      </c>
      <c r="D128" s="19" t="s">
        <v>86</v>
      </c>
      <c r="E128" s="30" t="s">
        <v>31</v>
      </c>
      <c r="F128" s="31" t="s">
        <v>64</v>
      </c>
      <c r="G128" s="31" t="str">
        <f>_xlfn.IFNA(VLOOKUP(F128,'Look Table'!B$1:E$64,3,FALSE),"")</f>
        <v>AB</v>
      </c>
      <c r="H128" s="31" t="str">
        <f>_xlfn.IFNA(VLOOKUP(F128,'Look Table'!B$1:E$64,4,FALSE),"")</f>
        <v>PLC5</v>
      </c>
      <c r="I128" s="41" t="s">
        <v>463</v>
      </c>
      <c r="J128" s="31" t="str">
        <f t="shared" si="1"/>
        <v>LAR_CAR</v>
      </c>
      <c r="K128" s="3" t="str">
        <f>J128&amp;"_"&amp;E128&amp;IF(ISNUMBER(SEARCH("PAS",G128)),"","_")&amp;(_xlfn.TEXTJOIN("_",TRUE,IF(G128 &lt;&gt; "PAS",G128:H128,""))&amp;(IF(Table1[[#This Row],[Sub-Area]]&lt;&gt;"",_xlfn.CONCAT("_",Table1[[#This Row],[Sub-Area]]),"")))</f>
        <v>LAR_CAR_PLC_AB_PLC5_76PLC_9058</v>
      </c>
      <c r="L128" s="32" t="str">
        <f>IF(I128 &lt;&gt; "",I128&amp;":\PAS\CBR\ProcessedFiles\"&amp;Table1[[#This Row],[Units]]&amp;"\"&amp;Table1[[#This Row],[Asset Type]]&amp;"\"&amp;K128,"")</f>
        <v>D:\PAS\CBR\ProcessedFiles\CAR\PLC\LAR_CAR_PLC_AB_PLC5_76PLC_9058</v>
      </c>
      <c r="M128" s="33" t="str">
        <f>"MKDIR "&amp;Table1[[#This Row],[Suggested Folder Naming]]</f>
        <v>MKDIR D:\PAS\CBR\ProcessedFiles\CAR\PLC\LAR_CAR_PLC_AB_PLC5_76PLC_9058</v>
      </c>
    </row>
    <row r="129" spans="1:13" s="1" customFormat="1" x14ac:dyDescent="0.25">
      <c r="A129" s="21"/>
      <c r="B129" s="7" t="s">
        <v>584</v>
      </c>
      <c r="C129" s="8" t="s">
        <v>477</v>
      </c>
      <c r="D129" s="19" t="s">
        <v>87</v>
      </c>
      <c r="E129" s="30" t="s">
        <v>31</v>
      </c>
      <c r="F129" s="31" t="s">
        <v>64</v>
      </c>
      <c r="G129" s="31" t="str">
        <f>_xlfn.IFNA(VLOOKUP(F129,'Look Table'!B$1:E$64,3,FALSE),"")</f>
        <v>AB</v>
      </c>
      <c r="H129" s="31" t="str">
        <f>_xlfn.IFNA(VLOOKUP(F129,'Look Table'!B$1:E$64,4,FALSE),"")</f>
        <v>PLC5</v>
      </c>
      <c r="I129" s="41" t="s">
        <v>463</v>
      </c>
      <c r="J129" s="31" t="str">
        <f t="shared" si="1"/>
        <v>LAR_CAR</v>
      </c>
      <c r="K129" s="3" t="str">
        <f>J129&amp;"_"&amp;E129&amp;IF(ISNUMBER(SEARCH("PAS",G129)),"","_")&amp;(_xlfn.TEXTJOIN("_",TRUE,IF(G129 &lt;&gt; "PAS",G129:H129,""))&amp;(IF(Table1[[#This Row],[Sub-Area]]&lt;&gt;"",_xlfn.CONCAT("_",Table1[[#This Row],[Sub-Area]]),"")))</f>
        <v>LAR_CAR_PLC_AB_PLC5_84PLC_9014</v>
      </c>
      <c r="L129" s="32" t="str">
        <f>IF(I129 &lt;&gt; "",I129&amp;":\PAS\CBR\ProcessedFiles\"&amp;Table1[[#This Row],[Units]]&amp;"\"&amp;Table1[[#This Row],[Asset Type]]&amp;"\"&amp;K129,"")</f>
        <v>D:\PAS\CBR\ProcessedFiles\CAR\PLC\LAR_CAR_PLC_AB_PLC5_84PLC_9014</v>
      </c>
      <c r="M129" s="33" t="str">
        <f>"MKDIR "&amp;Table1[[#This Row],[Suggested Folder Naming]]</f>
        <v>MKDIR D:\PAS\CBR\ProcessedFiles\CAR\PLC\LAR_CAR_PLC_AB_PLC5_84PLC_9014</v>
      </c>
    </row>
    <row r="130" spans="1:13" s="1" customFormat="1" x14ac:dyDescent="0.25">
      <c r="A130" s="21"/>
      <c r="B130" s="7" t="s">
        <v>584</v>
      </c>
      <c r="C130" s="8" t="s">
        <v>477</v>
      </c>
      <c r="D130" s="19" t="s">
        <v>88</v>
      </c>
      <c r="E130" s="30" t="s">
        <v>31</v>
      </c>
      <c r="F130" s="31" t="s">
        <v>64</v>
      </c>
      <c r="G130" s="31" t="str">
        <f>_xlfn.IFNA(VLOOKUP(F130,'Look Table'!B$1:E$64,3,FALSE),"")</f>
        <v>AB</v>
      </c>
      <c r="H130" s="31" t="str">
        <f>_xlfn.IFNA(VLOOKUP(F130,'Look Table'!B$1:E$64,4,FALSE),"")</f>
        <v>PLC5</v>
      </c>
      <c r="I130" s="41" t="s">
        <v>463</v>
      </c>
      <c r="J130" s="31" t="str">
        <f t="shared" si="1"/>
        <v>LAR_CAR</v>
      </c>
      <c r="K130" s="3" t="str">
        <f>J130&amp;"_"&amp;E130&amp;IF(ISNUMBER(SEARCH("PAS",G130)),"","_")&amp;(_xlfn.TEXTJOIN("_",TRUE,IF(G130 &lt;&gt; "PAS",G130:H130,""))&amp;(IF(Table1[[#This Row],[Sub-Area]]&lt;&gt;"",_xlfn.CONCAT("_",Table1[[#This Row],[Sub-Area]]),"")))</f>
        <v>LAR_CAR_PLC_AB_PLC5_84PLC_9061</v>
      </c>
      <c r="L130" s="32" t="str">
        <f>IF(I130 &lt;&gt; "",I130&amp;":\PAS\CBR\ProcessedFiles\"&amp;Table1[[#This Row],[Units]]&amp;"\"&amp;Table1[[#This Row],[Asset Type]]&amp;"\"&amp;K130,"")</f>
        <v>D:\PAS\CBR\ProcessedFiles\CAR\PLC\LAR_CAR_PLC_AB_PLC5_84PLC_9061</v>
      </c>
      <c r="M130" s="33" t="str">
        <f>"MKDIR "&amp;Table1[[#This Row],[Suggested Folder Naming]]</f>
        <v>MKDIR D:\PAS\CBR\ProcessedFiles\CAR\PLC\LAR_CAR_PLC_AB_PLC5_84PLC_9061</v>
      </c>
    </row>
    <row r="131" spans="1:13" s="1" customFormat="1" x14ac:dyDescent="0.25">
      <c r="A131" s="21"/>
      <c r="B131" s="7" t="s">
        <v>584</v>
      </c>
      <c r="C131" s="8" t="s">
        <v>477</v>
      </c>
      <c r="D131" s="19" t="s">
        <v>89</v>
      </c>
      <c r="E131" s="30" t="s">
        <v>31</v>
      </c>
      <c r="F131" s="31" t="s">
        <v>64</v>
      </c>
      <c r="G131" s="31" t="s">
        <v>36</v>
      </c>
      <c r="H131" s="31" t="s">
        <v>400</v>
      </c>
      <c r="I131" s="41" t="s">
        <v>463</v>
      </c>
      <c r="J131" s="31" t="str">
        <f t="shared" ref="J131:J194" si="2">_xlfn.TEXTJOIN("_",TRUE,B131:C131)</f>
        <v>LAR_CAR</v>
      </c>
      <c r="K131" s="3" t="str">
        <f>J131&amp;"_"&amp;E131&amp;IF(ISNUMBER(SEARCH("PAS",G131)),"","_")&amp;(_xlfn.TEXTJOIN("_",TRUE,IF(G131 &lt;&gt; "PAS",G131:H131,""))&amp;(IF(Table1[[#This Row],[Sub-Area]]&lt;&gt;"",_xlfn.CONCAT("_",Table1[[#This Row],[Sub-Area]]),"")))</f>
        <v>LAR_CAR_PLC_AB_PLC5_87PLC_9067</v>
      </c>
      <c r="L131" s="32" t="str">
        <f>IF(I131 &lt;&gt; "",I131&amp;":\PAS\CBR\ProcessedFiles\"&amp;Table1[[#This Row],[Units]]&amp;"\"&amp;Table1[[#This Row],[Asset Type]]&amp;"\"&amp;K131,"")</f>
        <v>D:\PAS\CBR\ProcessedFiles\CAR\PLC\LAR_CAR_PLC_AB_PLC5_87PLC_9067</v>
      </c>
      <c r="M131" s="33" t="str">
        <f>"MKDIR "&amp;Table1[[#This Row],[Suggested Folder Naming]]</f>
        <v>MKDIR D:\PAS\CBR\ProcessedFiles\CAR\PLC\LAR_CAR_PLC_AB_PLC5_87PLC_9067</v>
      </c>
    </row>
    <row r="132" spans="1:13" s="1" customFormat="1" x14ac:dyDescent="0.25">
      <c r="A132" s="21"/>
      <c r="B132" s="7" t="s">
        <v>584</v>
      </c>
      <c r="C132" s="8" t="s">
        <v>477</v>
      </c>
      <c r="D132" s="19" t="s">
        <v>90</v>
      </c>
      <c r="E132" s="30" t="s">
        <v>31</v>
      </c>
      <c r="F132" s="31" t="s">
        <v>64</v>
      </c>
      <c r="G132" s="31" t="s">
        <v>36</v>
      </c>
      <c r="H132" s="31" t="s">
        <v>400</v>
      </c>
      <c r="I132" s="41" t="s">
        <v>463</v>
      </c>
      <c r="J132" s="31" t="str">
        <f t="shared" si="2"/>
        <v>LAR_CAR</v>
      </c>
      <c r="K132" s="3" t="str">
        <f>J132&amp;"_"&amp;E132&amp;IF(ISNUMBER(SEARCH("PAS",G132)),"","_")&amp;(_xlfn.TEXTJOIN("_",TRUE,IF(G132 &lt;&gt; "PAS",G132:H132,""))&amp;(IF(Table1[[#This Row],[Sub-Area]]&lt;&gt;"",_xlfn.CONCAT("_",Table1[[#This Row],[Sub-Area]]),"")))</f>
        <v>LAR_CAR_PLC_AB_PLC5_88PLC_9207</v>
      </c>
      <c r="L132" s="32" t="str">
        <f>IF(I132 &lt;&gt; "",I132&amp;":\PAS\CBR\ProcessedFiles\"&amp;Table1[[#This Row],[Units]]&amp;"\"&amp;Table1[[#This Row],[Asset Type]]&amp;"\"&amp;K132,"")</f>
        <v>D:\PAS\CBR\ProcessedFiles\CAR\PLC\LAR_CAR_PLC_AB_PLC5_88PLC_9207</v>
      </c>
      <c r="M132" s="33" t="str">
        <f>"MKDIR "&amp;Table1[[#This Row],[Suggested Folder Naming]]</f>
        <v>MKDIR D:\PAS\CBR\ProcessedFiles\CAR\PLC\LAR_CAR_PLC_AB_PLC5_88PLC_9207</v>
      </c>
    </row>
    <row r="133" spans="1:13" s="1" customFormat="1" x14ac:dyDescent="0.25">
      <c r="A133" s="21"/>
      <c r="B133" s="7" t="s">
        <v>584</v>
      </c>
      <c r="C133" s="8" t="s">
        <v>477</v>
      </c>
      <c r="D133" s="19" t="s">
        <v>91</v>
      </c>
      <c r="E133" s="30" t="s">
        <v>31</v>
      </c>
      <c r="F133" s="31" t="s">
        <v>64</v>
      </c>
      <c r="G133" s="31" t="str">
        <f>_xlfn.IFNA(VLOOKUP(F133,'Look Table'!B$1:E$64,3,FALSE),"")</f>
        <v>AB</v>
      </c>
      <c r="H133" s="31" t="str">
        <f>_xlfn.IFNA(VLOOKUP(F133,'Look Table'!B$1:E$64,4,FALSE),"")</f>
        <v>PLC5</v>
      </c>
      <c r="I133" s="41" t="s">
        <v>463</v>
      </c>
      <c r="J133" s="31" t="str">
        <f t="shared" si="2"/>
        <v>LAR_CAR</v>
      </c>
      <c r="K133" s="3" t="str">
        <f>J133&amp;"_"&amp;E133&amp;IF(ISNUMBER(SEARCH("PAS",G133)),"","_")&amp;(_xlfn.TEXTJOIN("_",TRUE,IF(G133 &lt;&gt; "PAS",G133:H133,""))&amp;(IF(Table1[[#This Row],[Sub-Area]]&lt;&gt;"",_xlfn.CONCAT("_",Table1[[#This Row],[Sub-Area]]),"")))</f>
        <v>LAR_CAR_PLC_AB_PLC5_89PLC_9060</v>
      </c>
      <c r="L133" s="32" t="str">
        <f>IF(I133 &lt;&gt; "",I133&amp;":\PAS\CBR\ProcessedFiles\"&amp;Table1[[#This Row],[Units]]&amp;"\"&amp;Table1[[#This Row],[Asset Type]]&amp;"\"&amp;K133,"")</f>
        <v>D:\PAS\CBR\ProcessedFiles\CAR\PLC\LAR_CAR_PLC_AB_PLC5_89PLC_9060</v>
      </c>
      <c r="M133" s="33" t="str">
        <f>"MKDIR "&amp;Table1[[#This Row],[Suggested Folder Naming]]</f>
        <v>MKDIR D:\PAS\CBR\ProcessedFiles\CAR\PLC\LAR_CAR_PLC_AB_PLC5_89PLC_9060</v>
      </c>
    </row>
    <row r="134" spans="1:13" s="1" customFormat="1" x14ac:dyDescent="0.25">
      <c r="A134" s="21"/>
      <c r="B134" s="7" t="s">
        <v>584</v>
      </c>
      <c r="C134" s="8" t="s">
        <v>475</v>
      </c>
      <c r="D134" s="19" t="s">
        <v>476</v>
      </c>
      <c r="E134" s="30" t="s">
        <v>31</v>
      </c>
      <c r="F134" s="31" t="s">
        <v>64</v>
      </c>
      <c r="G134" s="31" t="str">
        <f>_xlfn.IFNA(VLOOKUP(F134,'[1]Look Table'!B$1:E$75,3,FALSE),"")</f>
        <v>AB</v>
      </c>
      <c r="H134" s="31" t="str">
        <f>_xlfn.IFNA(VLOOKUP(F134,'[1]Look Table'!B$1:E$75,4,FALSE),"")</f>
        <v>PLC5</v>
      </c>
      <c r="I134" s="41" t="s">
        <v>463</v>
      </c>
      <c r="J134" s="31" t="str">
        <f t="shared" si="2"/>
        <v>LAR_WIL</v>
      </c>
      <c r="K134" s="3" t="str">
        <f>J134&amp;"_"&amp;E134&amp;IF(ISNUMBER(SEARCH("PAS",G134)),"","_")&amp;(_xlfn.TEXTJOIN("_",TRUE,IF(G134 &lt;&gt; "PAS",G134:H134,""))&amp;(IF(Table1[[#This Row],[Sub-Area]]&lt;&gt;"",_xlfn.CONCAT("_",Table1[[#This Row],[Sub-Area]]),"")))</f>
        <v>LAR_WIL_PLC_AB_PLC5_ANLZ_03PLC_9026</v>
      </c>
      <c r="L134" s="32" t="str">
        <f>IF(I134 &lt;&gt; "",I134&amp;":\PAS\CBR\ProcessedFiles\"&amp;Table1[[#This Row],[Units]]&amp;"\"&amp;Table1[[#This Row],[Asset Type]]&amp;"\"&amp;K134,"")</f>
        <v>D:\PAS\CBR\ProcessedFiles\WIL\PLC\LAR_WIL_PLC_AB_PLC5_ANLZ_03PLC_9026</v>
      </c>
      <c r="M134" s="1" t="str">
        <f>"MKDIR "&amp;Table1[[#This Row],[Suggested Folder Naming]]</f>
        <v>MKDIR D:\PAS\CBR\ProcessedFiles\WIL\PLC\LAR_WIL_PLC_AB_PLC5_ANLZ_03PLC_9026</v>
      </c>
    </row>
    <row r="135" spans="1:13" s="1" customFormat="1" x14ac:dyDescent="0.25">
      <c r="A135" s="21"/>
      <c r="B135" s="7" t="s">
        <v>584</v>
      </c>
      <c r="C135" s="8" t="s">
        <v>475</v>
      </c>
      <c r="D135" s="19" t="s">
        <v>486</v>
      </c>
      <c r="E135" s="30" t="s">
        <v>31</v>
      </c>
      <c r="F135" s="31" t="s">
        <v>64</v>
      </c>
      <c r="G135" s="31" t="str">
        <f>_xlfn.IFNA(VLOOKUP(F135,'[1]Look Table'!B$1:E$75,3,FALSE),"")</f>
        <v>AB</v>
      </c>
      <c r="H135" s="31" t="str">
        <f>_xlfn.IFNA(VLOOKUP(F135,'[1]Look Table'!B$1:E$75,4,FALSE),"")</f>
        <v>PLC5</v>
      </c>
      <c r="I135" s="41" t="s">
        <v>463</v>
      </c>
      <c r="J135" s="31" t="str">
        <f t="shared" si="2"/>
        <v>LAR_WIL</v>
      </c>
      <c r="K135" s="3" t="str">
        <f>J135&amp;"_"&amp;E135&amp;IF(ISNUMBER(SEARCH("PAS",G135)),"","_")&amp;(_xlfn.TEXTJOIN("_",TRUE,IF(G135 &lt;&gt; "PAS",G135:H135,""))&amp;(IF(Table1[[#This Row],[Sub-Area]]&lt;&gt;"",_xlfn.CONCAT("_",Table1[[#This Row],[Sub-Area]]),"")))</f>
        <v>LAR_WIL_PLC_AB_PLC5_ANLZ_11PLC_9025</v>
      </c>
      <c r="L135" s="32" t="str">
        <f>IF(I135 &lt;&gt; "",I135&amp;":\PAS\CBR\ProcessedFiles\"&amp;Table1[[#This Row],[Units]]&amp;"\"&amp;Table1[[#This Row],[Asset Type]]&amp;"\"&amp;K135,"")</f>
        <v>D:\PAS\CBR\ProcessedFiles\WIL\PLC\LAR_WIL_PLC_AB_PLC5_ANLZ_11PLC_9025</v>
      </c>
      <c r="M135" s="1" t="str">
        <f>"MKDIR "&amp;Table1[[#This Row],[Suggested Folder Naming]]</f>
        <v>MKDIR D:\PAS\CBR\ProcessedFiles\WIL\PLC\LAR_WIL_PLC_AB_PLC5_ANLZ_11PLC_9025</v>
      </c>
    </row>
    <row r="136" spans="1:13" s="1" customFormat="1" x14ac:dyDescent="0.25">
      <c r="A136" s="21"/>
      <c r="B136" s="7" t="s">
        <v>584</v>
      </c>
      <c r="C136" s="8" t="s">
        <v>475</v>
      </c>
      <c r="D136" s="19" t="s">
        <v>487</v>
      </c>
      <c r="E136" s="30" t="s">
        <v>31</v>
      </c>
      <c r="F136" s="31" t="s">
        <v>64</v>
      </c>
      <c r="G136" s="31" t="str">
        <f>_xlfn.IFNA(VLOOKUP(F136,'[1]Look Table'!B$1:E$75,3,FALSE),"")</f>
        <v>AB</v>
      </c>
      <c r="H136" s="31" t="str">
        <f>_xlfn.IFNA(VLOOKUP(F136,'[1]Look Table'!B$1:E$75,4,FALSE),"")</f>
        <v>PLC5</v>
      </c>
      <c r="I136" s="41" t="s">
        <v>463</v>
      </c>
      <c r="J136" s="31" t="str">
        <f t="shared" si="2"/>
        <v>LAR_WIL</v>
      </c>
      <c r="K136" s="3" t="str">
        <f>J136&amp;"_"&amp;E136&amp;IF(ISNUMBER(SEARCH("PAS",G136)),"","_")&amp;(_xlfn.TEXTJOIN("_",TRUE,IF(G136 &lt;&gt; "PAS",G136:H136,""))&amp;(IF(Table1[[#This Row],[Sub-Area]]&lt;&gt;"",_xlfn.CONCAT("_",Table1[[#This Row],[Sub-Area]]),"")))</f>
        <v>LAR_WIL_PLC_AB_PLC5_ANLZ_11PLC_9035</v>
      </c>
      <c r="L136" s="32" t="str">
        <f>IF(I136 &lt;&gt; "",I136&amp;":\PAS\CBR\ProcessedFiles\"&amp;Table1[[#This Row],[Units]]&amp;"\"&amp;Table1[[#This Row],[Asset Type]]&amp;"\"&amp;K136,"")</f>
        <v>D:\PAS\CBR\ProcessedFiles\WIL\PLC\LAR_WIL_PLC_AB_PLC5_ANLZ_11PLC_9035</v>
      </c>
      <c r="M136" s="1" t="str">
        <f>"MKDIR "&amp;Table1[[#This Row],[Suggested Folder Naming]]</f>
        <v>MKDIR D:\PAS\CBR\ProcessedFiles\WIL\PLC\LAR_WIL_PLC_AB_PLC5_ANLZ_11PLC_9035</v>
      </c>
    </row>
    <row r="137" spans="1:13" s="1" customFormat="1" x14ac:dyDescent="0.25">
      <c r="A137" s="21"/>
      <c r="B137" s="7" t="s">
        <v>584</v>
      </c>
      <c r="C137" s="8" t="s">
        <v>475</v>
      </c>
      <c r="D137" s="19" t="s">
        <v>488</v>
      </c>
      <c r="E137" s="30" t="s">
        <v>31</v>
      </c>
      <c r="F137" s="31" t="s">
        <v>64</v>
      </c>
      <c r="G137" s="31" t="str">
        <f>_xlfn.IFNA(VLOOKUP(F137,'[1]Look Table'!B$1:E$75,3,FALSE),"")</f>
        <v>AB</v>
      </c>
      <c r="H137" s="31" t="str">
        <f>_xlfn.IFNA(VLOOKUP(F137,'[1]Look Table'!B$1:E$75,4,FALSE),"")</f>
        <v>PLC5</v>
      </c>
      <c r="I137" s="41" t="s">
        <v>463</v>
      </c>
      <c r="J137" s="31" t="str">
        <f t="shared" si="2"/>
        <v>LAR_WIL</v>
      </c>
      <c r="K137" s="3" t="str">
        <f>J137&amp;"_"&amp;E137&amp;IF(ISNUMBER(SEARCH("PAS",G137)),"","_")&amp;(_xlfn.TEXTJOIN("_",TRUE,IF(G137 &lt;&gt; "PAS",G137:H137,""))&amp;(IF(Table1[[#This Row],[Sub-Area]]&lt;&gt;"",_xlfn.CONCAT("_",Table1[[#This Row],[Sub-Area]]),"")))</f>
        <v>LAR_WIL_PLC_AB_PLC5_ANLZ_11PLC_9062</v>
      </c>
      <c r="L137" s="32" t="str">
        <f>IF(I137 &lt;&gt; "",I137&amp;":\PAS\CBR\ProcessedFiles\"&amp;Table1[[#This Row],[Units]]&amp;"\"&amp;Table1[[#This Row],[Asset Type]]&amp;"\"&amp;K137,"")</f>
        <v>D:\PAS\CBR\ProcessedFiles\WIL\PLC\LAR_WIL_PLC_AB_PLC5_ANLZ_11PLC_9062</v>
      </c>
      <c r="M137" s="1" t="str">
        <f>"MKDIR "&amp;Table1[[#This Row],[Suggested Folder Naming]]</f>
        <v>MKDIR D:\PAS\CBR\ProcessedFiles\WIL\PLC\LAR_WIL_PLC_AB_PLC5_ANLZ_11PLC_9062</v>
      </c>
    </row>
    <row r="138" spans="1:13" s="1" customFormat="1" x14ac:dyDescent="0.25">
      <c r="A138" s="21"/>
      <c r="B138" s="7" t="s">
        <v>584</v>
      </c>
      <c r="C138" s="8" t="s">
        <v>475</v>
      </c>
      <c r="D138" s="19" t="s">
        <v>492</v>
      </c>
      <c r="E138" s="30" t="s">
        <v>31</v>
      </c>
      <c r="F138" s="31" t="s">
        <v>64</v>
      </c>
      <c r="G138" s="31" t="str">
        <f>_xlfn.IFNA(VLOOKUP(F138,'[1]Look Table'!B$1:E$75,3,FALSE),"")</f>
        <v>AB</v>
      </c>
      <c r="H138" s="31" t="str">
        <f>_xlfn.IFNA(VLOOKUP(F138,'[1]Look Table'!B$1:E$75,4,FALSE),"")</f>
        <v>PLC5</v>
      </c>
      <c r="I138" s="41" t="s">
        <v>463</v>
      </c>
      <c r="J138" s="31" t="str">
        <f t="shared" si="2"/>
        <v>LAR_WIL</v>
      </c>
      <c r="K138" s="3" t="str">
        <f>J138&amp;"_"&amp;E138&amp;IF(ISNUMBER(SEARCH("PAS",G138)),"","_")&amp;(_xlfn.TEXTJOIN("_",TRUE,IF(G138 &lt;&gt; "PAS",G138:H138,""))&amp;(IF(Table1[[#This Row],[Sub-Area]]&lt;&gt;"",_xlfn.CONCAT("_",Table1[[#This Row],[Sub-Area]]),"")))</f>
        <v>LAR_WIL_PLC_AB_PLC5_ANLZ_19PLC_9044</v>
      </c>
      <c r="L138" s="32" t="str">
        <f>IF(I138 &lt;&gt; "",I138&amp;":\PAS\CBR\ProcessedFiles\"&amp;Table1[[#This Row],[Units]]&amp;"\"&amp;Table1[[#This Row],[Asset Type]]&amp;"\"&amp;K138,"")</f>
        <v>D:\PAS\CBR\ProcessedFiles\WIL\PLC\LAR_WIL_PLC_AB_PLC5_ANLZ_19PLC_9044</v>
      </c>
      <c r="M138" s="1" t="str">
        <f>"MKDIR "&amp;Table1[[#This Row],[Suggested Folder Naming]]</f>
        <v>MKDIR D:\PAS\CBR\ProcessedFiles\WIL\PLC\LAR_WIL_PLC_AB_PLC5_ANLZ_19PLC_9044</v>
      </c>
    </row>
    <row r="139" spans="1:13" s="1" customFormat="1" x14ac:dyDescent="0.25">
      <c r="A139" s="21"/>
      <c r="B139" s="7" t="s">
        <v>584</v>
      </c>
      <c r="C139" s="8" t="s">
        <v>475</v>
      </c>
      <c r="D139" s="19" t="s">
        <v>498</v>
      </c>
      <c r="E139" s="30" t="s">
        <v>31</v>
      </c>
      <c r="F139" s="31" t="s">
        <v>64</v>
      </c>
      <c r="G139" s="31" t="str">
        <f>_xlfn.IFNA(VLOOKUP(F139,'[1]Look Table'!B$1:E$75,3,FALSE),"")</f>
        <v>AB</v>
      </c>
      <c r="H139" s="31" t="str">
        <f>_xlfn.IFNA(VLOOKUP(F139,'[1]Look Table'!B$1:E$75,4,FALSE),"")</f>
        <v>PLC5</v>
      </c>
      <c r="I139" s="41" t="s">
        <v>463</v>
      </c>
      <c r="J139" s="31" t="str">
        <f t="shared" si="2"/>
        <v>LAR_WIL</v>
      </c>
      <c r="K139" s="3" t="str">
        <f>J139&amp;"_"&amp;E139&amp;IF(ISNUMBER(SEARCH("PAS",G139)),"","_")&amp;(_xlfn.TEXTJOIN("_",TRUE,IF(G139 &lt;&gt; "PAS",G139:H139,""))&amp;(IF(Table1[[#This Row],[Sub-Area]]&lt;&gt;"",_xlfn.CONCAT("_",Table1[[#This Row],[Sub-Area]]),"")))</f>
        <v>LAR_WIL_PLC_AB_PLC5_ANLZ_22PLC_9030</v>
      </c>
      <c r="L139" s="32" t="str">
        <f>IF(I139 &lt;&gt; "",I139&amp;":\PAS\CBR\ProcessedFiles\"&amp;Table1[[#This Row],[Units]]&amp;"\"&amp;Table1[[#This Row],[Asset Type]]&amp;"\"&amp;K139,"")</f>
        <v>D:\PAS\CBR\ProcessedFiles\WIL\PLC\LAR_WIL_PLC_AB_PLC5_ANLZ_22PLC_9030</v>
      </c>
      <c r="M139" s="1" t="str">
        <f>"MKDIR "&amp;Table1[[#This Row],[Suggested Folder Naming]]</f>
        <v>MKDIR D:\PAS\CBR\ProcessedFiles\WIL\PLC\LAR_WIL_PLC_AB_PLC5_ANLZ_22PLC_9030</v>
      </c>
    </row>
    <row r="140" spans="1:13" s="1" customFormat="1" x14ac:dyDescent="0.25">
      <c r="A140" s="21"/>
      <c r="B140" s="7" t="s">
        <v>584</v>
      </c>
      <c r="C140" s="8" t="s">
        <v>475</v>
      </c>
      <c r="D140" s="19" t="s">
        <v>499</v>
      </c>
      <c r="E140" s="30" t="s">
        <v>31</v>
      </c>
      <c r="F140" s="31" t="s">
        <v>64</v>
      </c>
      <c r="G140" s="31" t="str">
        <f>_xlfn.IFNA(VLOOKUP(F140,'[1]Look Table'!B$1:E$75,3,FALSE),"")</f>
        <v>AB</v>
      </c>
      <c r="H140" s="31" t="str">
        <f>_xlfn.IFNA(VLOOKUP(F140,'[1]Look Table'!B$1:E$75,4,FALSE),"")</f>
        <v>PLC5</v>
      </c>
      <c r="I140" s="41" t="s">
        <v>463</v>
      </c>
      <c r="J140" s="31" t="str">
        <f t="shared" si="2"/>
        <v>LAR_WIL</v>
      </c>
      <c r="K140" s="3" t="str">
        <f>J140&amp;"_"&amp;E140&amp;IF(ISNUMBER(SEARCH("PAS",G140)),"","_")&amp;(_xlfn.TEXTJOIN("_",TRUE,IF(G140 &lt;&gt; "PAS",G140:H140,""))&amp;(IF(Table1[[#This Row],[Sub-Area]]&lt;&gt;"",_xlfn.CONCAT("_",Table1[[#This Row],[Sub-Area]]),"")))</f>
        <v>LAR_WIL_PLC_AB_PLC5_ANLZ_23PLC_9040</v>
      </c>
      <c r="L140" s="32" t="str">
        <f>IF(I140 &lt;&gt; "",I140&amp;":\PAS\CBR\ProcessedFiles\"&amp;Table1[[#This Row],[Units]]&amp;"\"&amp;Table1[[#This Row],[Asset Type]]&amp;"\"&amp;K140,"")</f>
        <v>D:\PAS\CBR\ProcessedFiles\WIL\PLC\LAR_WIL_PLC_AB_PLC5_ANLZ_23PLC_9040</v>
      </c>
      <c r="M140" s="1" t="str">
        <f>"MKDIR "&amp;Table1[[#This Row],[Suggested Folder Naming]]</f>
        <v>MKDIR D:\PAS\CBR\ProcessedFiles\WIL\PLC\LAR_WIL_PLC_AB_PLC5_ANLZ_23PLC_9040</v>
      </c>
    </row>
    <row r="141" spans="1:13" s="1" customFormat="1" x14ac:dyDescent="0.25">
      <c r="A141" s="21"/>
      <c r="B141" s="7" t="s">
        <v>584</v>
      </c>
      <c r="C141" s="8" t="s">
        <v>475</v>
      </c>
      <c r="D141" s="19" t="s">
        <v>502</v>
      </c>
      <c r="E141" s="30" t="s">
        <v>31</v>
      </c>
      <c r="F141" s="31" t="s">
        <v>64</v>
      </c>
      <c r="G141" s="31" t="str">
        <f>_xlfn.IFNA(VLOOKUP(F141,'[1]Look Table'!B$1:E$75,3,FALSE),"")</f>
        <v>AB</v>
      </c>
      <c r="H141" s="31" t="str">
        <f>_xlfn.IFNA(VLOOKUP(F141,'[1]Look Table'!B$1:E$75,4,FALSE),"")</f>
        <v>PLC5</v>
      </c>
      <c r="I141" s="41" t="s">
        <v>463</v>
      </c>
      <c r="J141" s="31" t="str">
        <f t="shared" si="2"/>
        <v>LAR_WIL</v>
      </c>
      <c r="K141" s="3" t="str">
        <f>J141&amp;"_"&amp;E141&amp;IF(ISNUMBER(SEARCH("PAS",G141)),"","_")&amp;(_xlfn.TEXTJOIN("_",TRUE,IF(G141 &lt;&gt; "PAS",G141:H141,""))&amp;(IF(Table1[[#This Row],[Sub-Area]]&lt;&gt;"",_xlfn.CONCAT("_",Table1[[#This Row],[Sub-Area]]),"")))</f>
        <v>LAR_WIL_PLC_AB_PLC5_ANLZ_29PLC_9037</v>
      </c>
      <c r="L141" s="32" t="str">
        <f>IF(I141 &lt;&gt; "",I141&amp;":\PAS\CBR\ProcessedFiles\"&amp;Table1[[#This Row],[Units]]&amp;"\"&amp;Table1[[#This Row],[Asset Type]]&amp;"\"&amp;K141,"")</f>
        <v>D:\PAS\CBR\ProcessedFiles\WIL\PLC\LAR_WIL_PLC_AB_PLC5_ANLZ_29PLC_9037</v>
      </c>
      <c r="M141" s="1" t="str">
        <f>"MKDIR "&amp;Table1[[#This Row],[Suggested Folder Naming]]</f>
        <v>MKDIR D:\PAS\CBR\ProcessedFiles\WIL\PLC\LAR_WIL_PLC_AB_PLC5_ANLZ_29PLC_9037</v>
      </c>
    </row>
    <row r="142" spans="1:13" s="1" customFormat="1" x14ac:dyDescent="0.25">
      <c r="A142" s="21"/>
      <c r="B142" s="7" t="s">
        <v>584</v>
      </c>
      <c r="C142" s="8" t="s">
        <v>475</v>
      </c>
      <c r="D142" s="19" t="s">
        <v>503</v>
      </c>
      <c r="E142" s="30" t="s">
        <v>31</v>
      </c>
      <c r="F142" s="31" t="s">
        <v>64</v>
      </c>
      <c r="G142" s="31" t="str">
        <f>_xlfn.IFNA(VLOOKUP(F142,'[1]Look Table'!B$1:E$75,3,FALSE),"")</f>
        <v>AB</v>
      </c>
      <c r="H142" s="31" t="str">
        <f>_xlfn.IFNA(VLOOKUP(F142,'[1]Look Table'!B$1:E$75,4,FALSE),"")</f>
        <v>PLC5</v>
      </c>
      <c r="I142" s="41" t="s">
        <v>463</v>
      </c>
      <c r="J142" s="31" t="str">
        <f t="shared" si="2"/>
        <v>LAR_WIL</v>
      </c>
      <c r="K142" s="3" t="str">
        <f>J142&amp;"_"&amp;E142&amp;IF(ISNUMBER(SEARCH("PAS",G142)),"","_")&amp;(_xlfn.TEXTJOIN("_",TRUE,IF(G142 &lt;&gt; "PAS",G142:H142,""))&amp;(IF(Table1[[#This Row],[Sub-Area]]&lt;&gt;"",_xlfn.CONCAT("_",Table1[[#This Row],[Sub-Area]]),"")))</f>
        <v>LAR_WIL_PLC_AB_PLC5_ANLZ_31PLC_9028</v>
      </c>
      <c r="L142" s="32" t="str">
        <f>IF(I142 &lt;&gt; "",I142&amp;":\PAS\CBR\ProcessedFiles\"&amp;Table1[[#This Row],[Units]]&amp;"\"&amp;Table1[[#This Row],[Asset Type]]&amp;"\"&amp;K142,"")</f>
        <v>D:\PAS\CBR\ProcessedFiles\WIL\PLC\LAR_WIL_PLC_AB_PLC5_ANLZ_31PLC_9028</v>
      </c>
      <c r="M142" s="1" t="str">
        <f>"MKDIR "&amp;Table1[[#This Row],[Suggested Folder Naming]]</f>
        <v>MKDIR D:\PAS\CBR\ProcessedFiles\WIL\PLC\LAR_WIL_PLC_AB_PLC5_ANLZ_31PLC_9028</v>
      </c>
    </row>
    <row r="143" spans="1:13" s="1" customFormat="1" x14ac:dyDescent="0.25">
      <c r="A143" s="21"/>
      <c r="B143" s="7" t="s">
        <v>584</v>
      </c>
      <c r="C143" s="8" t="s">
        <v>475</v>
      </c>
      <c r="D143" s="19" t="s">
        <v>504</v>
      </c>
      <c r="E143" s="30" t="s">
        <v>31</v>
      </c>
      <c r="F143" s="31" t="s">
        <v>64</v>
      </c>
      <c r="G143" s="31" t="str">
        <f>_xlfn.IFNA(VLOOKUP(F143,'[1]Look Table'!B$1:E$75,3,FALSE),"")</f>
        <v>AB</v>
      </c>
      <c r="H143" s="31" t="str">
        <f>_xlfn.IFNA(VLOOKUP(F143,'[1]Look Table'!B$1:E$75,4,FALSE),"")</f>
        <v>PLC5</v>
      </c>
      <c r="I143" s="41" t="s">
        <v>463</v>
      </c>
      <c r="J143" s="31" t="str">
        <f t="shared" si="2"/>
        <v>LAR_WIL</v>
      </c>
      <c r="K143" s="3" t="str">
        <f>J143&amp;"_"&amp;E143&amp;IF(ISNUMBER(SEARCH("PAS",G143)),"","_")&amp;(_xlfn.TEXTJOIN("_",TRUE,IF(G143 &lt;&gt; "PAS",G143:H143,""))&amp;(IF(Table1[[#This Row],[Sub-Area]]&lt;&gt;"",_xlfn.CONCAT("_",Table1[[#This Row],[Sub-Area]]),"")))</f>
        <v>LAR_WIL_PLC_AB_PLC5_ANLZ_31PLC_9036</v>
      </c>
      <c r="L143" s="32" t="str">
        <f>IF(I143 &lt;&gt; "",I143&amp;":\PAS\CBR\ProcessedFiles\"&amp;Table1[[#This Row],[Units]]&amp;"\"&amp;Table1[[#This Row],[Asset Type]]&amp;"\"&amp;K143,"")</f>
        <v>D:\PAS\CBR\ProcessedFiles\WIL\PLC\LAR_WIL_PLC_AB_PLC5_ANLZ_31PLC_9036</v>
      </c>
      <c r="M143" s="1" t="str">
        <f>"MKDIR "&amp;Table1[[#This Row],[Suggested Folder Naming]]</f>
        <v>MKDIR D:\PAS\CBR\ProcessedFiles\WIL\PLC\LAR_WIL_PLC_AB_PLC5_ANLZ_31PLC_9036</v>
      </c>
    </row>
    <row r="144" spans="1:13" s="1" customFormat="1" x14ac:dyDescent="0.25">
      <c r="A144" s="21"/>
      <c r="B144" s="7" t="s">
        <v>584</v>
      </c>
      <c r="C144" s="8" t="s">
        <v>475</v>
      </c>
      <c r="D144" s="19" t="s">
        <v>506</v>
      </c>
      <c r="E144" s="30" t="s">
        <v>31</v>
      </c>
      <c r="F144" s="31" t="s">
        <v>64</v>
      </c>
      <c r="G144" s="31" t="str">
        <f>_xlfn.IFNA(VLOOKUP(F144,'[1]Look Table'!B$1:E$75,3,FALSE),"")</f>
        <v>AB</v>
      </c>
      <c r="H144" s="31" t="str">
        <f>_xlfn.IFNA(VLOOKUP(F144,'[1]Look Table'!B$1:E$75,4,FALSE),"")</f>
        <v>PLC5</v>
      </c>
      <c r="I144" s="41" t="s">
        <v>463</v>
      </c>
      <c r="J144" s="31" t="str">
        <f t="shared" si="2"/>
        <v>LAR_WIL</v>
      </c>
      <c r="K144" s="3" t="str">
        <f>J144&amp;"_"&amp;E144&amp;IF(ISNUMBER(SEARCH("PAS",G144)),"","_")&amp;(_xlfn.TEXTJOIN("_",TRUE,IF(G144 &lt;&gt; "PAS",G144:H144,""))&amp;(IF(Table1[[#This Row],[Sub-Area]]&lt;&gt;"",_xlfn.CONCAT("_",Table1[[#This Row],[Sub-Area]]),"")))</f>
        <v>LAR_WIL_PLC_AB_PLC5_ANLZ_32PLC_9045</v>
      </c>
      <c r="L144" s="32" t="str">
        <f>IF(I144 &lt;&gt; "",I144&amp;":\PAS\CBR\ProcessedFiles\"&amp;Table1[[#This Row],[Units]]&amp;"\"&amp;Table1[[#This Row],[Asset Type]]&amp;"\"&amp;K144,"")</f>
        <v>D:\PAS\CBR\ProcessedFiles\WIL\PLC\LAR_WIL_PLC_AB_PLC5_ANLZ_32PLC_9045</v>
      </c>
      <c r="M144" s="1" t="str">
        <f>"MKDIR "&amp;Table1[[#This Row],[Suggested Folder Naming]]</f>
        <v>MKDIR D:\PAS\CBR\ProcessedFiles\WIL\PLC\LAR_WIL_PLC_AB_PLC5_ANLZ_32PLC_9045</v>
      </c>
    </row>
    <row r="145" spans="1:13" s="1" customFormat="1" x14ac:dyDescent="0.25">
      <c r="A145" s="21"/>
      <c r="B145" s="7" t="s">
        <v>584</v>
      </c>
      <c r="C145" s="8" t="s">
        <v>475</v>
      </c>
      <c r="D145" s="19" t="s">
        <v>508</v>
      </c>
      <c r="E145" s="30" t="s">
        <v>31</v>
      </c>
      <c r="F145" s="31" t="s">
        <v>64</v>
      </c>
      <c r="G145" s="31" t="str">
        <f>_xlfn.IFNA(VLOOKUP(F145,'[1]Look Table'!B$1:E$75,3,FALSE),"")</f>
        <v>AB</v>
      </c>
      <c r="H145" s="31" t="str">
        <f>_xlfn.IFNA(VLOOKUP(F145,'[1]Look Table'!B$1:E$75,4,FALSE),"")</f>
        <v>PLC5</v>
      </c>
      <c r="I145" s="41" t="s">
        <v>463</v>
      </c>
      <c r="J145" s="31" t="str">
        <f t="shared" si="2"/>
        <v>LAR_WIL</v>
      </c>
      <c r="K145" s="3" t="str">
        <f>J145&amp;"_"&amp;E145&amp;IF(ISNUMBER(SEARCH("PAS",G145)),"","_")&amp;(_xlfn.TEXTJOIN("_",TRUE,IF(G145 &lt;&gt; "PAS",G145:H145,""))&amp;(IF(Table1[[#This Row],[Sub-Area]]&lt;&gt;"",_xlfn.CONCAT("_",Table1[[#This Row],[Sub-Area]]),"")))</f>
        <v>LAR_WIL_PLC_AB_PLC5_ANLZ_51PLC_9031</v>
      </c>
      <c r="L145" s="32" t="str">
        <f>IF(I145 &lt;&gt; "",I145&amp;":\PAS\CBR\ProcessedFiles\"&amp;Table1[[#This Row],[Units]]&amp;"\"&amp;Table1[[#This Row],[Asset Type]]&amp;"\"&amp;K145,"")</f>
        <v>D:\PAS\CBR\ProcessedFiles\WIL\PLC\LAR_WIL_PLC_AB_PLC5_ANLZ_51PLC_9031</v>
      </c>
      <c r="M145" s="1" t="str">
        <f>"MKDIR "&amp;Table1[[#This Row],[Suggested Folder Naming]]</f>
        <v>MKDIR D:\PAS\CBR\ProcessedFiles\WIL\PLC\LAR_WIL_PLC_AB_PLC5_ANLZ_51PLC_9031</v>
      </c>
    </row>
    <row r="146" spans="1:13" s="1" customFormat="1" x14ac:dyDescent="0.25">
      <c r="A146" s="21"/>
      <c r="B146" s="7" t="s">
        <v>584</v>
      </c>
      <c r="C146" s="8" t="s">
        <v>475</v>
      </c>
      <c r="D146" s="19" t="s">
        <v>510</v>
      </c>
      <c r="E146" s="30" t="s">
        <v>31</v>
      </c>
      <c r="F146" s="31" t="s">
        <v>64</v>
      </c>
      <c r="G146" s="31" t="str">
        <f>_xlfn.IFNA(VLOOKUP(F146,'[1]Look Table'!B$1:E$75,3,FALSE),"")</f>
        <v>AB</v>
      </c>
      <c r="H146" s="31" t="str">
        <f>_xlfn.IFNA(VLOOKUP(F146,'[1]Look Table'!B$1:E$75,4,FALSE),"")</f>
        <v>PLC5</v>
      </c>
      <c r="I146" s="41" t="s">
        <v>463</v>
      </c>
      <c r="J146" s="31" t="str">
        <f t="shared" si="2"/>
        <v>LAR_WIL</v>
      </c>
      <c r="K146" s="3" t="str">
        <f>J146&amp;"_"&amp;E146&amp;IF(ISNUMBER(SEARCH("PAS",G146)),"","_")&amp;(_xlfn.TEXTJOIN("_",TRUE,IF(G146 &lt;&gt; "PAS",G146:H146,""))&amp;(IF(Table1[[#This Row],[Sub-Area]]&lt;&gt;"",_xlfn.CONCAT("_",Table1[[#This Row],[Sub-Area]]),"")))</f>
        <v>LAR_WIL_PLC_AB_PLC5_ANLZ_61PLC_9041</v>
      </c>
      <c r="L146" s="32" t="str">
        <f>IF(I146 &lt;&gt; "",I146&amp;":\PAS\CBR\ProcessedFiles\"&amp;Table1[[#This Row],[Units]]&amp;"\"&amp;Table1[[#This Row],[Asset Type]]&amp;"\"&amp;K146,"")</f>
        <v>D:\PAS\CBR\ProcessedFiles\WIL\PLC\LAR_WIL_PLC_AB_PLC5_ANLZ_61PLC_9041</v>
      </c>
      <c r="M146" s="1" t="str">
        <f>"MKDIR "&amp;Table1[[#This Row],[Suggested Folder Naming]]</f>
        <v>MKDIR D:\PAS\CBR\ProcessedFiles\WIL\PLC\LAR_WIL_PLC_AB_PLC5_ANLZ_61PLC_9041</v>
      </c>
    </row>
    <row r="147" spans="1:13" s="1" customFormat="1" x14ac:dyDescent="0.25">
      <c r="A147" s="21"/>
      <c r="B147" s="7" t="s">
        <v>584</v>
      </c>
      <c r="C147" s="8" t="s">
        <v>475</v>
      </c>
      <c r="D147" s="19" t="s">
        <v>511</v>
      </c>
      <c r="E147" s="30" t="s">
        <v>31</v>
      </c>
      <c r="F147" s="31" t="s">
        <v>64</v>
      </c>
      <c r="G147" s="31" t="str">
        <f>_xlfn.IFNA(VLOOKUP(F147,'[1]Look Table'!B$1:E$75,3,FALSE),"")</f>
        <v>AB</v>
      </c>
      <c r="H147" s="31" t="str">
        <f>_xlfn.IFNA(VLOOKUP(F147,'[1]Look Table'!B$1:E$75,4,FALSE),"")</f>
        <v>PLC5</v>
      </c>
      <c r="I147" s="41" t="s">
        <v>463</v>
      </c>
      <c r="J147" s="31" t="str">
        <f t="shared" si="2"/>
        <v>LAR_WIL</v>
      </c>
      <c r="K147" s="3" t="str">
        <f>J147&amp;"_"&amp;E147&amp;IF(ISNUMBER(SEARCH("PAS",G147)),"","_")&amp;(_xlfn.TEXTJOIN("_",TRUE,IF(G147 &lt;&gt; "PAS",G147:H147,""))&amp;(IF(Table1[[#This Row],[Sub-Area]]&lt;&gt;"",_xlfn.CONCAT("_",Table1[[#This Row],[Sub-Area]]),"")))</f>
        <v>LAR_WIL_PLC_AB_PLC5_ANLZ_63PLC_9042</v>
      </c>
      <c r="L147" s="32" t="str">
        <f>IF(I147 &lt;&gt; "",I147&amp;":\PAS\CBR\ProcessedFiles\"&amp;Table1[[#This Row],[Units]]&amp;"\"&amp;Table1[[#This Row],[Asset Type]]&amp;"\"&amp;K147,"")</f>
        <v>D:\PAS\CBR\ProcessedFiles\WIL\PLC\LAR_WIL_PLC_AB_PLC5_ANLZ_63PLC_9042</v>
      </c>
      <c r="M147" s="1" t="str">
        <f>"MKDIR "&amp;Table1[[#This Row],[Suggested Folder Naming]]</f>
        <v>MKDIR D:\PAS\CBR\ProcessedFiles\WIL\PLC\LAR_WIL_PLC_AB_PLC5_ANLZ_63PLC_9042</v>
      </c>
    </row>
    <row r="148" spans="1:13" s="1" customFormat="1" x14ac:dyDescent="0.25">
      <c r="A148" s="21"/>
      <c r="B148" s="7" t="s">
        <v>584</v>
      </c>
      <c r="C148" s="8" t="s">
        <v>475</v>
      </c>
      <c r="D148" s="19" t="s">
        <v>512</v>
      </c>
      <c r="E148" s="30" t="s">
        <v>31</v>
      </c>
      <c r="F148" s="31" t="s">
        <v>64</v>
      </c>
      <c r="G148" s="31" t="str">
        <f>_xlfn.IFNA(VLOOKUP(F148,'[1]Look Table'!B$1:E$75,3,FALSE),"")</f>
        <v>AB</v>
      </c>
      <c r="H148" s="31" t="str">
        <f>_xlfn.IFNA(VLOOKUP(F148,'[1]Look Table'!B$1:E$75,4,FALSE),"")</f>
        <v>PLC5</v>
      </c>
      <c r="I148" s="41" t="s">
        <v>463</v>
      </c>
      <c r="J148" s="31" t="str">
        <f t="shared" si="2"/>
        <v>LAR_WIL</v>
      </c>
      <c r="K148" s="3" t="str">
        <f>J148&amp;"_"&amp;E148&amp;IF(ISNUMBER(SEARCH("PAS",G148)),"","_")&amp;(_xlfn.TEXTJOIN("_",TRUE,IF(G148 &lt;&gt; "PAS",G148:H148,""))&amp;(IF(Table1[[#This Row],[Sub-Area]]&lt;&gt;"",_xlfn.CONCAT("_",Table1[[#This Row],[Sub-Area]]),"")))</f>
        <v>LAR_WIL_PLC_AB_PLC5_ANLZ_68PLC_9029</v>
      </c>
      <c r="L148" s="32" t="str">
        <f>IF(I148 &lt;&gt; "",I148&amp;":\PAS\CBR\ProcessedFiles\"&amp;Table1[[#This Row],[Units]]&amp;"\"&amp;Table1[[#This Row],[Asset Type]]&amp;"\"&amp;K148,"")</f>
        <v>D:\PAS\CBR\ProcessedFiles\WIL\PLC\LAR_WIL_PLC_AB_PLC5_ANLZ_68PLC_9029</v>
      </c>
      <c r="M148" s="1" t="str">
        <f>"MKDIR "&amp;Table1[[#This Row],[Suggested Folder Naming]]</f>
        <v>MKDIR D:\PAS\CBR\ProcessedFiles\WIL\PLC\LAR_WIL_PLC_AB_PLC5_ANLZ_68PLC_9029</v>
      </c>
    </row>
    <row r="149" spans="1:13" s="1" customFormat="1" x14ac:dyDescent="0.25">
      <c r="A149" s="21"/>
      <c r="B149" s="7" t="s">
        <v>584</v>
      </c>
      <c r="C149" s="8" t="s">
        <v>475</v>
      </c>
      <c r="D149" s="19" t="s">
        <v>517</v>
      </c>
      <c r="E149" s="30" t="s">
        <v>31</v>
      </c>
      <c r="F149" s="31" t="s">
        <v>64</v>
      </c>
      <c r="G149" s="31" t="str">
        <f>_xlfn.IFNA(VLOOKUP(F149,'[1]Look Table'!B$1:E$75,3,FALSE),"")</f>
        <v>AB</v>
      </c>
      <c r="H149" s="31" t="str">
        <f>_xlfn.IFNA(VLOOKUP(F149,'[1]Look Table'!B$1:E$75,4,FALSE),"")</f>
        <v>PLC5</v>
      </c>
      <c r="I149" s="41" t="s">
        <v>463</v>
      </c>
      <c r="J149" s="31" t="str">
        <f t="shared" si="2"/>
        <v>LAR_WIL</v>
      </c>
      <c r="K149" s="3" t="str">
        <f>J149&amp;"_"&amp;E149&amp;IF(ISNUMBER(SEARCH("PAS",G149)),"","_")&amp;(_xlfn.TEXTJOIN("_",TRUE,IF(G149 &lt;&gt; "PAS",G149:H149,""))&amp;(IF(Table1[[#This Row],[Sub-Area]]&lt;&gt;"",_xlfn.CONCAT("_",Table1[[#This Row],[Sub-Area]]),"")))</f>
        <v>LAR_WIL_PLC_AB_PLC5_ANLZ_73PLC_9023</v>
      </c>
      <c r="L149" s="32" t="str">
        <f>IF(I149 &lt;&gt; "",I149&amp;":\PAS\CBR\ProcessedFiles\"&amp;Table1[[#This Row],[Units]]&amp;"\"&amp;Table1[[#This Row],[Asset Type]]&amp;"\"&amp;K149,"")</f>
        <v>D:\PAS\CBR\ProcessedFiles\WIL\PLC\LAR_WIL_PLC_AB_PLC5_ANLZ_73PLC_9023</v>
      </c>
      <c r="M149" s="1" t="str">
        <f>"MKDIR "&amp;Table1[[#This Row],[Suggested Folder Naming]]</f>
        <v>MKDIR D:\PAS\CBR\ProcessedFiles\WIL\PLC\LAR_WIL_PLC_AB_PLC5_ANLZ_73PLC_9023</v>
      </c>
    </row>
    <row r="150" spans="1:13" s="1" customFormat="1" x14ac:dyDescent="0.25">
      <c r="A150" s="21"/>
      <c r="B150" s="7" t="s">
        <v>584</v>
      </c>
      <c r="C150" s="8" t="s">
        <v>475</v>
      </c>
      <c r="D150" s="19" t="s">
        <v>526</v>
      </c>
      <c r="E150" s="30" t="s">
        <v>31</v>
      </c>
      <c r="F150" s="31" t="s">
        <v>64</v>
      </c>
      <c r="G150" s="31" t="str">
        <f>_xlfn.IFNA(VLOOKUP(F150,'[1]Look Table'!B$1:E$75,3,FALSE),"")</f>
        <v>AB</v>
      </c>
      <c r="H150" s="31" t="str">
        <f>_xlfn.IFNA(VLOOKUP(F150,'[1]Look Table'!B$1:E$75,4,FALSE),"")</f>
        <v>PLC5</v>
      </c>
      <c r="I150" s="41" t="s">
        <v>463</v>
      </c>
      <c r="J150" s="31" t="str">
        <f t="shared" si="2"/>
        <v>LAR_WIL</v>
      </c>
      <c r="K150" s="3" t="str">
        <f>J150&amp;"_"&amp;E150&amp;IF(ISNUMBER(SEARCH("PAS",G150)),"","_")&amp;(_xlfn.TEXTJOIN("_",TRUE,IF(G150 &lt;&gt; "PAS",G150:H150,""))&amp;(IF(Table1[[#This Row],[Sub-Area]]&lt;&gt;"",_xlfn.CONCAT("_",Table1[[#This Row],[Sub-Area]]),"")))</f>
        <v>LAR_WIL_PLC_AB_PLC5_ANLZ_80PLC_9038</v>
      </c>
      <c r="L150" s="32" t="str">
        <f>IF(I150 &lt;&gt; "",I150&amp;":\PAS\CBR\ProcessedFiles\"&amp;Table1[[#This Row],[Units]]&amp;"\"&amp;Table1[[#This Row],[Asset Type]]&amp;"\"&amp;K150,"")</f>
        <v>D:\PAS\CBR\ProcessedFiles\WIL\PLC\LAR_WIL_PLC_AB_PLC5_ANLZ_80PLC_9038</v>
      </c>
      <c r="M150" s="1" t="str">
        <f>"MKDIR "&amp;Table1[[#This Row],[Suggested Folder Naming]]</f>
        <v>MKDIR D:\PAS\CBR\ProcessedFiles\WIL\PLC\LAR_WIL_PLC_AB_PLC5_ANLZ_80PLC_9038</v>
      </c>
    </row>
    <row r="151" spans="1:13" s="1" customFormat="1" x14ac:dyDescent="0.25">
      <c r="A151" s="21"/>
      <c r="B151" s="7" t="s">
        <v>584</v>
      </c>
      <c r="C151" s="8" t="s">
        <v>475</v>
      </c>
      <c r="D151" s="19" t="s">
        <v>530</v>
      </c>
      <c r="E151" s="30" t="s">
        <v>31</v>
      </c>
      <c r="F151" s="31" t="s">
        <v>64</v>
      </c>
      <c r="G151" s="31" t="str">
        <f>_xlfn.IFNA(VLOOKUP(F151,'[1]Look Table'!B$1:E$75,3,FALSE),"")</f>
        <v>AB</v>
      </c>
      <c r="H151" s="31" t="str">
        <f>_xlfn.IFNA(VLOOKUP(F151,'[1]Look Table'!B$1:E$75,4,FALSE),"")</f>
        <v>PLC5</v>
      </c>
      <c r="I151" s="41" t="s">
        <v>463</v>
      </c>
      <c r="J151" s="31" t="str">
        <f t="shared" si="2"/>
        <v>LAR_WIL</v>
      </c>
      <c r="K151" s="3" t="str">
        <f>J151&amp;"_"&amp;E151&amp;IF(ISNUMBER(SEARCH("PAS",G151)),"","_")&amp;(_xlfn.TEXTJOIN("_",TRUE,IF(G151 &lt;&gt; "PAS",G151:H151,""))&amp;(IF(Table1[[#This Row],[Sub-Area]]&lt;&gt;"",_xlfn.CONCAT("_",Table1[[#This Row],[Sub-Area]]),"")))</f>
        <v>LAR_WIL_PLC_AB_PLC5_ANLZ_84PLC_9039</v>
      </c>
      <c r="L151" s="32" t="str">
        <f>IF(I151 &lt;&gt; "",I151&amp;":\PAS\CBR\ProcessedFiles\"&amp;Table1[[#This Row],[Units]]&amp;"\"&amp;Table1[[#This Row],[Asset Type]]&amp;"\"&amp;K151,"")</f>
        <v>D:\PAS\CBR\ProcessedFiles\WIL\PLC\LAR_WIL_PLC_AB_PLC5_ANLZ_84PLC_9039</v>
      </c>
      <c r="M151" s="1" t="str">
        <f>"MKDIR "&amp;Table1[[#This Row],[Suggested Folder Naming]]</f>
        <v>MKDIR D:\PAS\CBR\ProcessedFiles\WIL\PLC\LAR_WIL_PLC_AB_PLC5_ANLZ_84PLC_9039</v>
      </c>
    </row>
    <row r="152" spans="1:13" s="1" customFormat="1" x14ac:dyDescent="0.25">
      <c r="A152" s="21"/>
      <c r="B152" s="7" t="s">
        <v>584</v>
      </c>
      <c r="C152" s="8" t="s">
        <v>475</v>
      </c>
      <c r="D152" s="19" t="s">
        <v>549</v>
      </c>
      <c r="E152" s="30" t="s">
        <v>31</v>
      </c>
      <c r="F152" s="31" t="s">
        <v>64</v>
      </c>
      <c r="G152" s="31" t="str">
        <f>_xlfn.IFNA(VLOOKUP(F152,'[1]Look Table'!B$1:E$75,3,FALSE),"")</f>
        <v>AB</v>
      </c>
      <c r="H152" s="31" t="str">
        <f>_xlfn.IFNA(VLOOKUP(F152,'[1]Look Table'!B$1:E$75,4,FALSE),"")</f>
        <v>PLC5</v>
      </c>
      <c r="I152" s="41" t="s">
        <v>463</v>
      </c>
      <c r="J152" s="31" t="str">
        <f t="shared" si="2"/>
        <v>LAR_WIL</v>
      </c>
      <c r="K152" s="3" t="str">
        <f>J152&amp;"_"&amp;E152&amp;IF(ISNUMBER(SEARCH("PAS",G152)),"","_")&amp;(_xlfn.TEXTJOIN("_",TRUE,IF(G152 &lt;&gt; "PAS",G152:H152,""))&amp;(IF(Table1[[#This Row],[Sub-Area]]&lt;&gt;"",_xlfn.CONCAT("_",Table1[[#This Row],[Sub-Area]]),"")))</f>
        <v>LAR_WIL_PLC_AB_PLC5_ANLZ_CPD_SUB_10</v>
      </c>
      <c r="L152" s="32" t="str">
        <f>IF(I152 &lt;&gt; "",I152&amp;":\PAS\CBR\ProcessedFiles\"&amp;Table1[[#This Row],[Units]]&amp;"\"&amp;Table1[[#This Row],[Asset Type]]&amp;"\"&amp;K152,"")</f>
        <v>D:\PAS\CBR\ProcessedFiles\WIL\PLC\LAR_WIL_PLC_AB_PLC5_ANLZ_CPD_SUB_10</v>
      </c>
      <c r="M152" s="1" t="str">
        <f>"MKDIR "&amp;Table1[[#This Row],[Suggested Folder Naming]]</f>
        <v>MKDIR D:\PAS\CBR\ProcessedFiles\WIL\PLC\LAR_WIL_PLC_AB_PLC5_ANLZ_CPD_SUB_10</v>
      </c>
    </row>
    <row r="153" spans="1:13" s="1" customFormat="1" x14ac:dyDescent="0.25">
      <c r="A153" s="21"/>
      <c r="B153" s="7" t="s">
        <v>584</v>
      </c>
      <c r="C153" s="8" t="s">
        <v>475</v>
      </c>
      <c r="D153" s="19" t="s">
        <v>551</v>
      </c>
      <c r="E153" s="30" t="s">
        <v>31</v>
      </c>
      <c r="F153" s="31" t="s">
        <v>64</v>
      </c>
      <c r="G153" s="31" t="str">
        <f>_xlfn.IFNA(VLOOKUP(F153,'[1]Look Table'!B$1:E$75,3,FALSE),"")</f>
        <v>AB</v>
      </c>
      <c r="H153" s="31" t="str">
        <f>_xlfn.IFNA(VLOOKUP(F153,'[1]Look Table'!B$1:E$75,4,FALSE),"")</f>
        <v>PLC5</v>
      </c>
      <c r="I153" s="41" t="s">
        <v>463</v>
      </c>
      <c r="J153" s="31" t="str">
        <f t="shared" si="2"/>
        <v>LAR_WIL</v>
      </c>
      <c r="K153" s="3" t="str">
        <f>J153&amp;"_"&amp;E153&amp;IF(ISNUMBER(SEARCH("PAS",G153)),"","_")&amp;(_xlfn.TEXTJOIN("_",TRUE,IF(G153 &lt;&gt; "PAS",G153:H153,""))&amp;(IF(Table1[[#This Row],[Sub-Area]]&lt;&gt;"",_xlfn.CONCAT("_",Table1[[#This Row],[Sub-Area]]),"")))</f>
        <v>LAR_WIL_PLC_AB_PLC5_ANLZ_FCCU_SUB_8</v>
      </c>
      <c r="L153" s="32" t="str">
        <f>IF(I153 &lt;&gt; "",I153&amp;":\PAS\CBR\ProcessedFiles\"&amp;Table1[[#This Row],[Units]]&amp;"\"&amp;Table1[[#This Row],[Asset Type]]&amp;"\"&amp;K153,"")</f>
        <v>D:\PAS\CBR\ProcessedFiles\WIL\PLC\LAR_WIL_PLC_AB_PLC5_ANLZ_FCCU_SUB_8</v>
      </c>
      <c r="M153" s="1" t="str">
        <f>"MKDIR "&amp;Table1[[#This Row],[Suggested Folder Naming]]</f>
        <v>MKDIR D:\PAS\CBR\ProcessedFiles\WIL\PLC\LAR_WIL_PLC_AB_PLC5_ANLZ_FCCU_SUB_8</v>
      </c>
    </row>
    <row r="154" spans="1:13" s="1" customFormat="1" x14ac:dyDescent="0.25">
      <c r="A154" s="21"/>
      <c r="B154" s="7" t="s">
        <v>584</v>
      </c>
      <c r="C154" s="8" t="s">
        <v>475</v>
      </c>
      <c r="D154" s="19" t="s">
        <v>572</v>
      </c>
      <c r="E154" s="30" t="s">
        <v>31</v>
      </c>
      <c r="F154" s="31" t="s">
        <v>64</v>
      </c>
      <c r="G154" s="31" t="str">
        <f>_xlfn.IFNA(VLOOKUP(F154,'[1]Look Table'!B$1:E$75,3,FALSE),"")</f>
        <v>AB</v>
      </c>
      <c r="H154" s="31" t="str">
        <f>_xlfn.IFNA(VLOOKUP(F154,'[1]Look Table'!B$1:E$75,4,FALSE),"")</f>
        <v>PLC5</v>
      </c>
      <c r="I154" s="41" t="s">
        <v>463</v>
      </c>
      <c r="J154" s="31" t="str">
        <f t="shared" si="2"/>
        <v>LAR_WIL</v>
      </c>
      <c r="K154" s="3" t="str">
        <f>J154&amp;"_"&amp;E154&amp;IF(ISNUMBER(SEARCH("PAS",G154)),"","_")&amp;(_xlfn.TEXTJOIN("_",TRUE,IF(G154 &lt;&gt; "PAS",G154:H154,""))&amp;(IF(Table1[[#This Row],[Sub-Area]]&lt;&gt;"",_xlfn.CONCAT("_",Table1[[#This Row],[Sub-Area]]),"")))</f>
        <v>LAR_WIL_PLC_AB_PLC5_ANLZ_HGU2_SUB_9</v>
      </c>
      <c r="L154" s="32" t="str">
        <f>IF(I154 &lt;&gt; "",I154&amp;":\PAS\CBR\ProcessedFiles\"&amp;Table1[[#This Row],[Units]]&amp;"\"&amp;Table1[[#This Row],[Asset Type]]&amp;"\"&amp;K154,"")</f>
        <v>D:\PAS\CBR\ProcessedFiles\WIL\PLC\LAR_WIL_PLC_AB_PLC5_ANLZ_HGU2_SUB_9</v>
      </c>
      <c r="M154" s="1" t="str">
        <f>"MKDIR "&amp;Table1[[#This Row],[Suggested Folder Naming]]</f>
        <v>MKDIR D:\PAS\CBR\ProcessedFiles\WIL\PLC\LAR_WIL_PLC_AB_PLC5_ANLZ_HGU2_SUB_9</v>
      </c>
    </row>
    <row r="155" spans="1:13" s="1" customFormat="1" x14ac:dyDescent="0.25">
      <c r="A155" s="21"/>
      <c r="B155" s="7" t="s">
        <v>584</v>
      </c>
      <c r="C155" s="8" t="s">
        <v>475</v>
      </c>
      <c r="D155" s="19" t="s">
        <v>573</v>
      </c>
      <c r="E155" s="30" t="s">
        <v>31</v>
      </c>
      <c r="F155" s="31" t="s">
        <v>64</v>
      </c>
      <c r="G155" s="31" t="str">
        <f>_xlfn.IFNA(VLOOKUP(F155,'[1]Look Table'!B$1:E$75,3,FALSE),"")</f>
        <v>AB</v>
      </c>
      <c r="H155" s="31" t="str">
        <f>_xlfn.IFNA(VLOOKUP(F155,'[1]Look Table'!B$1:E$75,4,FALSE),"")</f>
        <v>PLC5</v>
      </c>
      <c r="I155" s="41" t="s">
        <v>463</v>
      </c>
      <c r="J155" s="31" t="str">
        <f t="shared" si="2"/>
        <v>LAR_WIL</v>
      </c>
      <c r="K155" s="3" t="str">
        <f>J155&amp;"_"&amp;E155&amp;IF(ISNUMBER(SEARCH("PAS",G155)),"","_")&amp;(_xlfn.TEXTJOIN("_",TRUE,IF(G155 &lt;&gt; "PAS",G155:H155,""))&amp;(IF(Table1[[#This Row],[Sub-Area]]&lt;&gt;"",_xlfn.CONCAT("_",Table1[[#This Row],[Sub-Area]]),"")))</f>
        <v>LAR_WIL_PLC_AB_PLC5_ANLZ_HPD_Rack_Room_data_conc</v>
      </c>
      <c r="L155" s="32" t="str">
        <f>IF(I155 &lt;&gt; "",I155&amp;":\PAS\CBR\ProcessedFiles\"&amp;Table1[[#This Row],[Units]]&amp;"\"&amp;Table1[[#This Row],[Asset Type]]&amp;"\"&amp;K155,"")</f>
        <v>D:\PAS\CBR\ProcessedFiles\WIL\PLC\LAR_WIL_PLC_AB_PLC5_ANLZ_HPD_Rack_Room_data_conc</v>
      </c>
      <c r="M155" s="1" t="str">
        <f>"MKDIR "&amp;Table1[[#This Row],[Suggested Folder Naming]]</f>
        <v>MKDIR D:\PAS\CBR\ProcessedFiles\WIL\PLC\LAR_WIL_PLC_AB_PLC5_ANLZ_HPD_Rack_Room_data_conc</v>
      </c>
    </row>
    <row r="156" spans="1:13" s="1" customFormat="1" x14ac:dyDescent="0.25">
      <c r="A156" s="21"/>
      <c r="B156" s="7" t="s">
        <v>584</v>
      </c>
      <c r="C156" s="8" t="s">
        <v>475</v>
      </c>
      <c r="D156" s="19" t="s">
        <v>576</v>
      </c>
      <c r="E156" s="30" t="s">
        <v>31</v>
      </c>
      <c r="F156" s="31" t="s">
        <v>64</v>
      </c>
      <c r="G156" s="31" t="str">
        <f>_xlfn.IFNA(VLOOKUP(F156,'[1]Look Table'!B$1:E$75,3,FALSE),"")</f>
        <v>AB</v>
      </c>
      <c r="H156" s="31" t="str">
        <f>_xlfn.IFNA(VLOOKUP(F156,'[1]Look Table'!B$1:E$75,4,FALSE),"")</f>
        <v>PLC5</v>
      </c>
      <c r="I156" s="41" t="s">
        <v>463</v>
      </c>
      <c r="J156" s="31" t="str">
        <f t="shared" si="2"/>
        <v>LAR_WIL</v>
      </c>
      <c r="K156" s="3" t="str">
        <f>J156&amp;"_"&amp;E156&amp;IF(ISNUMBER(SEARCH("PAS",G156)),"","_")&amp;(_xlfn.TEXTJOIN("_",TRUE,IF(G156 &lt;&gt; "PAS",G156:H156,""))&amp;(IF(Table1[[#This Row],[Sub-Area]]&lt;&gt;"",_xlfn.CONCAT("_",Table1[[#This Row],[Sub-Area]]),"")))</f>
        <v>LAR_WIL_PLC_AB_PLC5_ANLZ_OLD_CRU2_CtrlRoomDataConc</v>
      </c>
      <c r="L156" s="32" t="str">
        <f>IF(I156 &lt;&gt; "",I156&amp;":\PAS\CBR\ProcessedFiles\"&amp;Table1[[#This Row],[Units]]&amp;"\"&amp;Table1[[#This Row],[Asset Type]]&amp;"\"&amp;K156,"")</f>
        <v>D:\PAS\CBR\ProcessedFiles\WIL\PLC\LAR_WIL_PLC_AB_PLC5_ANLZ_OLD_CRU2_CtrlRoomDataConc</v>
      </c>
      <c r="M156" s="1" t="str">
        <f>"MKDIR "&amp;Table1[[#This Row],[Suggested Folder Naming]]</f>
        <v>MKDIR D:\PAS\CBR\ProcessedFiles\WIL\PLC\LAR_WIL_PLC_AB_PLC5_ANLZ_OLD_CRU2_CtrlRoomDataConc</v>
      </c>
    </row>
    <row r="157" spans="1:13" s="1" customFormat="1" x14ac:dyDescent="0.25">
      <c r="A157" s="21"/>
      <c r="B157" s="7" t="s">
        <v>584</v>
      </c>
      <c r="C157" s="8" t="s">
        <v>475</v>
      </c>
      <c r="D157" s="19" t="s">
        <v>578</v>
      </c>
      <c r="E157" s="30" t="s">
        <v>31</v>
      </c>
      <c r="F157" s="31" t="s">
        <v>64</v>
      </c>
      <c r="G157" s="31" t="str">
        <f>_xlfn.IFNA(VLOOKUP(F157,'[1]Look Table'!B$1:E$75,3,FALSE),"")</f>
        <v>AB</v>
      </c>
      <c r="H157" s="31" t="str">
        <f>_xlfn.IFNA(VLOOKUP(F157,'[1]Look Table'!B$1:E$75,4,FALSE),"")</f>
        <v>PLC5</v>
      </c>
      <c r="I157" s="41" t="s">
        <v>463</v>
      </c>
      <c r="J157" s="31" t="str">
        <f t="shared" si="2"/>
        <v>LAR_WIL</v>
      </c>
      <c r="K157" s="3" t="str">
        <f>J157&amp;"_"&amp;E157&amp;IF(ISNUMBER(SEARCH("PAS",G157)),"","_")&amp;(_xlfn.TEXTJOIN("_",TRUE,IF(G157 &lt;&gt; "PAS",G157:H157,""))&amp;(IF(Table1[[#This Row],[Sub-Area]]&lt;&gt;"",_xlfn.CONCAT("_",Table1[[#This Row],[Sub-Area]]),"")))</f>
        <v>LAR_WIL_PLC_AB_PLC5_ANLZ_SACR_data_conc</v>
      </c>
      <c r="L157" s="32" t="str">
        <f>IF(I157 &lt;&gt; "",I157&amp;":\PAS\CBR\ProcessedFiles\"&amp;Table1[[#This Row],[Units]]&amp;"\"&amp;Table1[[#This Row],[Asset Type]]&amp;"\"&amp;K157,"")</f>
        <v>D:\PAS\CBR\ProcessedFiles\WIL\PLC\LAR_WIL_PLC_AB_PLC5_ANLZ_SACR_data_conc</v>
      </c>
      <c r="M157" s="1" t="str">
        <f>"MKDIR "&amp;Table1[[#This Row],[Suggested Folder Naming]]</f>
        <v>MKDIR D:\PAS\CBR\ProcessedFiles\WIL\PLC\LAR_WIL_PLC_AB_PLC5_ANLZ_SACR_data_conc</v>
      </c>
    </row>
    <row r="158" spans="1:13" s="1" customFormat="1" x14ac:dyDescent="0.25">
      <c r="A158" s="21"/>
      <c r="B158" s="7" t="s">
        <v>584</v>
      </c>
      <c r="C158" s="8" t="s">
        <v>475</v>
      </c>
      <c r="D158" s="19" t="s">
        <v>579</v>
      </c>
      <c r="E158" s="30" t="s">
        <v>31</v>
      </c>
      <c r="F158" s="31" t="s">
        <v>64</v>
      </c>
      <c r="G158" s="31" t="str">
        <f>_xlfn.IFNA(VLOOKUP(F158,'[1]Look Table'!B$1:E$75,3,FALSE),"")</f>
        <v>AB</v>
      </c>
      <c r="H158" s="31" t="str">
        <f>_xlfn.IFNA(VLOOKUP(F158,'[1]Look Table'!B$1:E$75,4,FALSE),"")</f>
        <v>PLC5</v>
      </c>
      <c r="I158" s="41" t="s">
        <v>463</v>
      </c>
      <c r="J158" s="31" t="str">
        <f t="shared" si="2"/>
        <v>LAR_WIL</v>
      </c>
      <c r="K158" s="3" t="str">
        <f>J158&amp;"_"&amp;E158&amp;IF(ISNUMBER(SEARCH("PAS",G158)),"","_")&amp;(_xlfn.TEXTJOIN("_",TRUE,IF(G158 &lt;&gt; "PAS",G158:H158,""))&amp;(IF(Table1[[#This Row],[Sub-Area]]&lt;&gt;"",_xlfn.CONCAT("_",Table1[[#This Row],[Sub-Area]]),"")))</f>
        <v>LAR_WIL_PLC_AB_PLC5_ANLZ_SRP_CtrlRackRoomDataconc</v>
      </c>
      <c r="L158" s="32" t="str">
        <f>IF(I158 &lt;&gt; "",I158&amp;":\PAS\CBR\ProcessedFiles\"&amp;Table1[[#This Row],[Units]]&amp;"\"&amp;Table1[[#This Row],[Asset Type]]&amp;"\"&amp;K158,"")</f>
        <v>D:\PAS\CBR\ProcessedFiles\WIL\PLC\LAR_WIL_PLC_AB_PLC5_ANLZ_SRP_CtrlRackRoomDataconc</v>
      </c>
      <c r="M158" s="1" t="str">
        <f>"MKDIR "&amp;Table1[[#This Row],[Suggested Folder Naming]]</f>
        <v>MKDIR D:\PAS\CBR\ProcessedFiles\WIL\PLC\LAR_WIL_PLC_AB_PLC5_ANLZ_SRP_CtrlRackRoomDataconc</v>
      </c>
    </row>
    <row r="159" spans="1:13" s="1" customFormat="1" x14ac:dyDescent="0.25">
      <c r="A159" s="21"/>
      <c r="B159" s="7" t="s">
        <v>584</v>
      </c>
      <c r="C159" s="8" t="s">
        <v>477</v>
      </c>
      <c r="D159" s="19" t="s">
        <v>92</v>
      </c>
      <c r="E159" s="30" t="s">
        <v>31</v>
      </c>
      <c r="F159" s="31" t="s">
        <v>93</v>
      </c>
      <c r="G159" s="31" t="str">
        <f>_xlfn.IFNA(VLOOKUP(F159,'Look Table'!B$1:E$64,3,FALSE),"")</f>
        <v>AB</v>
      </c>
      <c r="H159" s="31" t="str">
        <f>_xlfn.IFNA(VLOOKUP(F159,'Look Table'!B$1:E$64,4,FALSE),"")</f>
        <v>SLC500</v>
      </c>
      <c r="I159" s="41" t="s">
        <v>463</v>
      </c>
      <c r="J159" s="31" t="str">
        <f t="shared" si="2"/>
        <v>LAR_CAR</v>
      </c>
      <c r="K159" s="3" t="str">
        <f>J159&amp;"_"&amp;E159&amp;IF(ISNUMBER(SEARCH("PAS",G159)),"","_")&amp;(_xlfn.TEXTJOIN("_",TRUE,IF(G159 &lt;&gt; "PAS",G159:H159,""))&amp;(IF(Table1[[#This Row],[Sub-Area]]&lt;&gt;"",_xlfn.CONCAT("_",Table1[[#This Row],[Sub-Area]]),"")))</f>
        <v>LAR_CAR_PLC_AB_SLC500_11PLC_9527</v>
      </c>
      <c r="L159" s="32" t="str">
        <f>IF(I159 &lt;&gt; "",I159&amp;":\PAS\CBR\ProcessedFiles\"&amp;Table1[[#This Row],[Units]]&amp;"\"&amp;Table1[[#This Row],[Asset Type]]&amp;"\"&amp;K159,"")</f>
        <v>D:\PAS\CBR\ProcessedFiles\CAR\PLC\LAR_CAR_PLC_AB_SLC500_11PLC_9527</v>
      </c>
      <c r="M159" s="33" t="str">
        <f>"MKDIR "&amp;Table1[[#This Row],[Suggested Folder Naming]]</f>
        <v>MKDIR D:\PAS\CBR\ProcessedFiles\CAR\PLC\LAR_CAR_PLC_AB_SLC500_11PLC_9527</v>
      </c>
    </row>
    <row r="160" spans="1:13" s="1" customFormat="1" x14ac:dyDescent="0.25">
      <c r="A160" s="21"/>
      <c r="B160" s="7" t="s">
        <v>584</v>
      </c>
      <c r="C160" s="8" t="s">
        <v>477</v>
      </c>
      <c r="D160" s="19" t="s">
        <v>94</v>
      </c>
      <c r="E160" s="30" t="s">
        <v>31</v>
      </c>
      <c r="F160" s="31" t="s">
        <v>93</v>
      </c>
      <c r="G160" s="31" t="str">
        <f>_xlfn.IFNA(VLOOKUP(F160,'Look Table'!B$1:E$64,3,FALSE),"")</f>
        <v>AB</v>
      </c>
      <c r="H160" s="31" t="str">
        <f>_xlfn.IFNA(VLOOKUP(F160,'Look Table'!B$1:E$64,4,FALSE),"")</f>
        <v>SLC500</v>
      </c>
      <c r="I160" s="41" t="s">
        <v>463</v>
      </c>
      <c r="J160" s="31" t="str">
        <f t="shared" si="2"/>
        <v>LAR_CAR</v>
      </c>
      <c r="K160" s="3" t="str">
        <f>J160&amp;"_"&amp;E160&amp;IF(ISNUMBER(SEARCH("PAS",G160)),"","_")&amp;(_xlfn.TEXTJOIN("_",TRUE,IF(G160 &lt;&gt; "PAS",G160:H160,""))&amp;(IF(Table1[[#This Row],[Sub-Area]]&lt;&gt;"",_xlfn.CONCAT("_",Table1[[#This Row],[Sub-Area]]),"")))</f>
        <v>LAR_CAR_PLC_AB_SLC500_11PLC_9528</v>
      </c>
      <c r="L160" s="32" t="str">
        <f>IF(I160 &lt;&gt; "",I160&amp;":\PAS\CBR\ProcessedFiles\"&amp;Table1[[#This Row],[Units]]&amp;"\"&amp;Table1[[#This Row],[Asset Type]]&amp;"\"&amp;K160,"")</f>
        <v>D:\PAS\CBR\ProcessedFiles\CAR\PLC\LAR_CAR_PLC_AB_SLC500_11PLC_9528</v>
      </c>
      <c r="M160" s="33" t="str">
        <f>"MKDIR "&amp;Table1[[#This Row],[Suggested Folder Naming]]</f>
        <v>MKDIR D:\PAS\CBR\ProcessedFiles\CAR\PLC\LAR_CAR_PLC_AB_SLC500_11PLC_9528</v>
      </c>
    </row>
    <row r="161" spans="1:13" s="1" customFormat="1" x14ac:dyDescent="0.25">
      <c r="A161" s="21"/>
      <c r="B161" s="7" t="s">
        <v>584</v>
      </c>
      <c r="C161" s="8" t="s">
        <v>477</v>
      </c>
      <c r="D161" s="19" t="s">
        <v>95</v>
      </c>
      <c r="E161" s="30" t="s">
        <v>31</v>
      </c>
      <c r="F161" s="31" t="s">
        <v>93</v>
      </c>
      <c r="G161" s="31" t="str">
        <f>_xlfn.IFNA(VLOOKUP(F161,'Look Table'!B$1:E$64,3,FALSE),"")</f>
        <v>AB</v>
      </c>
      <c r="H161" s="31" t="str">
        <f>_xlfn.IFNA(VLOOKUP(F161,'Look Table'!B$1:E$64,4,FALSE),"")</f>
        <v>SLC500</v>
      </c>
      <c r="I161" s="41" t="s">
        <v>463</v>
      </c>
      <c r="J161" s="31" t="str">
        <f t="shared" si="2"/>
        <v>LAR_CAR</v>
      </c>
      <c r="K161" s="3" t="str">
        <f>J161&amp;"_"&amp;E161&amp;IF(ISNUMBER(SEARCH("PAS",G161)),"","_")&amp;(_xlfn.TEXTJOIN("_",TRUE,IF(G161 &lt;&gt; "PAS",G161:H161,""))&amp;(IF(Table1[[#This Row],[Sub-Area]]&lt;&gt;"",_xlfn.CONCAT("_",Table1[[#This Row],[Sub-Area]]),"")))</f>
        <v>LAR_CAR_PLC_AB_SLC500_11PLC_9529</v>
      </c>
      <c r="L161" s="32" t="str">
        <f>IF(I161 &lt;&gt; "",I161&amp;":\PAS\CBR\ProcessedFiles\"&amp;Table1[[#This Row],[Units]]&amp;"\"&amp;Table1[[#This Row],[Asset Type]]&amp;"\"&amp;K161,"")</f>
        <v>D:\PAS\CBR\ProcessedFiles\CAR\PLC\LAR_CAR_PLC_AB_SLC500_11PLC_9529</v>
      </c>
      <c r="M161" s="33" t="str">
        <f>"MKDIR "&amp;Table1[[#This Row],[Suggested Folder Naming]]</f>
        <v>MKDIR D:\PAS\CBR\ProcessedFiles\CAR\PLC\LAR_CAR_PLC_AB_SLC500_11PLC_9529</v>
      </c>
    </row>
    <row r="162" spans="1:13" s="1" customFormat="1" x14ac:dyDescent="0.25">
      <c r="A162" s="21"/>
      <c r="B162" s="7" t="s">
        <v>584</v>
      </c>
      <c r="C162" s="8" t="s">
        <v>477</v>
      </c>
      <c r="D162" s="19" t="s">
        <v>96</v>
      </c>
      <c r="E162" s="30" t="s">
        <v>31</v>
      </c>
      <c r="F162" s="31" t="s">
        <v>93</v>
      </c>
      <c r="G162" s="31" t="str">
        <f>_xlfn.IFNA(VLOOKUP(F162,'Look Table'!B$1:E$64,3,FALSE),"")</f>
        <v>AB</v>
      </c>
      <c r="H162" s="31" t="str">
        <f>_xlfn.IFNA(VLOOKUP(F162,'Look Table'!B$1:E$64,4,FALSE),"")</f>
        <v>SLC500</v>
      </c>
      <c r="I162" s="41" t="s">
        <v>463</v>
      </c>
      <c r="J162" s="31" t="str">
        <f t="shared" si="2"/>
        <v>LAR_CAR</v>
      </c>
      <c r="K162" s="3" t="str">
        <f>J162&amp;"_"&amp;E162&amp;IF(ISNUMBER(SEARCH("PAS",G162)),"","_")&amp;(_xlfn.TEXTJOIN("_",TRUE,IF(G162 &lt;&gt; "PAS",G162:H162,""))&amp;(IF(Table1[[#This Row],[Sub-Area]]&lt;&gt;"",_xlfn.CONCAT("_",Table1[[#This Row],[Sub-Area]]),"")))</f>
        <v>LAR_CAR_PLC_AB_SLC500_17PLC_9526</v>
      </c>
      <c r="L162" s="32" t="str">
        <f>IF(I162 &lt;&gt; "",I162&amp;":\PAS\CBR\ProcessedFiles\"&amp;Table1[[#This Row],[Units]]&amp;"\"&amp;Table1[[#This Row],[Asset Type]]&amp;"\"&amp;K162,"")</f>
        <v>D:\PAS\CBR\ProcessedFiles\CAR\PLC\LAR_CAR_PLC_AB_SLC500_17PLC_9526</v>
      </c>
      <c r="M162" s="33" t="str">
        <f>"MKDIR "&amp;Table1[[#This Row],[Suggested Folder Naming]]</f>
        <v>MKDIR D:\PAS\CBR\ProcessedFiles\CAR\PLC\LAR_CAR_PLC_AB_SLC500_17PLC_9526</v>
      </c>
    </row>
    <row r="163" spans="1:13" s="1" customFormat="1" x14ac:dyDescent="0.25">
      <c r="A163" s="21"/>
      <c r="B163" s="7" t="s">
        <v>584</v>
      </c>
      <c r="C163" s="8" t="s">
        <v>477</v>
      </c>
      <c r="D163" s="19" t="s">
        <v>97</v>
      </c>
      <c r="E163" s="30" t="s">
        <v>31</v>
      </c>
      <c r="F163" s="31" t="s">
        <v>93</v>
      </c>
      <c r="G163" s="31" t="s">
        <v>36</v>
      </c>
      <c r="H163" s="31" t="s">
        <v>401</v>
      </c>
      <c r="I163" s="41" t="s">
        <v>463</v>
      </c>
      <c r="J163" s="31" t="str">
        <f t="shared" si="2"/>
        <v>LAR_CAR</v>
      </c>
      <c r="K163" s="3" t="str">
        <f>J163&amp;"_"&amp;E163&amp;IF(ISNUMBER(SEARCH("PAS",G163)),"","_")&amp;(_xlfn.TEXTJOIN("_",TRUE,IF(G163 &lt;&gt; "PAS",G163:H163,""))&amp;(IF(Table1[[#This Row],[Sub-Area]]&lt;&gt;"",_xlfn.CONCAT("_",Table1[[#This Row],[Sub-Area]]),"")))</f>
        <v>LAR_CAR_PLC_AB_SLC500_38PLC_9901D</v>
      </c>
      <c r="L163" s="32" t="str">
        <f>IF(I163 &lt;&gt; "",I163&amp;":\PAS\CBR\ProcessedFiles\"&amp;Table1[[#This Row],[Units]]&amp;"\"&amp;Table1[[#This Row],[Asset Type]]&amp;"\"&amp;K163,"")</f>
        <v>D:\PAS\CBR\ProcessedFiles\CAR\PLC\LAR_CAR_PLC_AB_SLC500_38PLC_9901D</v>
      </c>
      <c r="M163" s="33" t="str">
        <f>"MKDIR "&amp;Table1[[#This Row],[Suggested Folder Naming]]</f>
        <v>MKDIR D:\PAS\CBR\ProcessedFiles\CAR\PLC\LAR_CAR_PLC_AB_SLC500_38PLC_9901D</v>
      </c>
    </row>
    <row r="164" spans="1:13" s="1" customFormat="1" x14ac:dyDescent="0.25">
      <c r="A164" s="21"/>
      <c r="B164" s="7" t="s">
        <v>584</v>
      </c>
      <c r="C164" s="8" t="s">
        <v>477</v>
      </c>
      <c r="D164" s="19" t="s">
        <v>98</v>
      </c>
      <c r="E164" s="30" t="s">
        <v>31</v>
      </c>
      <c r="F164" s="31" t="s">
        <v>93</v>
      </c>
      <c r="G164" s="31" t="str">
        <f>_xlfn.IFNA(VLOOKUP(F164,'Look Table'!B$1:E$64,3,FALSE),"")</f>
        <v>AB</v>
      </c>
      <c r="H164" s="31" t="str">
        <f>_xlfn.IFNA(VLOOKUP(F164,'Look Table'!B$1:E$64,4,FALSE),"")</f>
        <v>SLC500</v>
      </c>
      <c r="I164" s="41" t="s">
        <v>463</v>
      </c>
      <c r="J164" s="31" t="str">
        <f t="shared" si="2"/>
        <v>LAR_CAR</v>
      </c>
      <c r="K164" s="3" t="str">
        <f>J164&amp;"_"&amp;E164&amp;IF(ISNUMBER(SEARCH("PAS",G164)),"","_")&amp;(_xlfn.TEXTJOIN("_",TRUE,IF(G164 &lt;&gt; "PAS",G164:H164,""))&amp;(IF(Table1[[#This Row],[Sub-Area]]&lt;&gt;"",_xlfn.CONCAT("_",Table1[[#This Row],[Sub-Area]]),"")))</f>
        <v>LAR_CAR_PLC_AB_SLC500_40PLC_9901E</v>
      </c>
      <c r="L164" s="32" t="str">
        <f>IF(I164 &lt;&gt; "",I164&amp;":\PAS\CBR\ProcessedFiles\"&amp;Table1[[#This Row],[Units]]&amp;"\"&amp;Table1[[#This Row],[Asset Type]]&amp;"\"&amp;K164,"")</f>
        <v>D:\PAS\CBR\ProcessedFiles\CAR\PLC\LAR_CAR_PLC_AB_SLC500_40PLC_9901E</v>
      </c>
      <c r="M164" s="33" t="str">
        <f>"MKDIR "&amp;Table1[[#This Row],[Suggested Folder Naming]]</f>
        <v>MKDIR D:\PAS\CBR\ProcessedFiles\CAR\PLC\LAR_CAR_PLC_AB_SLC500_40PLC_9901E</v>
      </c>
    </row>
    <row r="165" spans="1:13" s="1" customFormat="1" x14ac:dyDescent="0.25">
      <c r="A165" s="21"/>
      <c r="B165" s="7" t="s">
        <v>584</v>
      </c>
      <c r="C165" s="8" t="s">
        <v>477</v>
      </c>
      <c r="D165" s="19" t="s">
        <v>99</v>
      </c>
      <c r="E165" s="30" t="s">
        <v>31</v>
      </c>
      <c r="F165" s="31" t="s">
        <v>93</v>
      </c>
      <c r="G165" s="31" t="s">
        <v>36</v>
      </c>
      <c r="H165" s="31" t="s">
        <v>401</v>
      </c>
      <c r="I165" s="41" t="s">
        <v>463</v>
      </c>
      <c r="J165" s="31" t="str">
        <f t="shared" si="2"/>
        <v>LAR_CAR</v>
      </c>
      <c r="K165" s="3" t="str">
        <f>J165&amp;"_"&amp;E165&amp;IF(ISNUMBER(SEARCH("PAS",G165)),"","_")&amp;(_xlfn.TEXTJOIN("_",TRUE,IF(G165 &lt;&gt; "PAS",G165:H165,""))&amp;(IF(Table1[[#This Row],[Sub-Area]]&lt;&gt;"",_xlfn.CONCAT("_",Table1[[#This Row],[Sub-Area]]),"")))</f>
        <v>LAR_CAR_PLC_AB_SLC500_44PLC_9911</v>
      </c>
      <c r="L165" s="32" t="str">
        <f>IF(I165 &lt;&gt; "",I165&amp;":\PAS\CBR\ProcessedFiles\"&amp;Table1[[#This Row],[Units]]&amp;"\"&amp;Table1[[#This Row],[Asset Type]]&amp;"\"&amp;K165,"")</f>
        <v>D:\PAS\CBR\ProcessedFiles\CAR\PLC\LAR_CAR_PLC_AB_SLC500_44PLC_9911</v>
      </c>
      <c r="M165" s="33" t="str">
        <f>"MKDIR "&amp;Table1[[#This Row],[Suggested Folder Naming]]</f>
        <v>MKDIR D:\PAS\CBR\ProcessedFiles\CAR\PLC\LAR_CAR_PLC_AB_SLC500_44PLC_9911</v>
      </c>
    </row>
    <row r="166" spans="1:13" s="1" customFormat="1" x14ac:dyDescent="0.25">
      <c r="A166" s="21"/>
      <c r="B166" s="7" t="s">
        <v>584</v>
      </c>
      <c r="C166" s="8" t="s">
        <v>477</v>
      </c>
      <c r="D166" s="19" t="s">
        <v>100</v>
      </c>
      <c r="E166" s="30" t="s">
        <v>31</v>
      </c>
      <c r="F166" s="31" t="s">
        <v>93</v>
      </c>
      <c r="G166" s="31" t="s">
        <v>36</v>
      </c>
      <c r="H166" s="31" t="s">
        <v>401</v>
      </c>
      <c r="I166" s="41" t="s">
        <v>463</v>
      </c>
      <c r="J166" s="31" t="str">
        <f t="shared" si="2"/>
        <v>LAR_CAR</v>
      </c>
      <c r="K166" s="3" t="str">
        <f>J166&amp;"_"&amp;E166&amp;IF(ISNUMBER(SEARCH("PAS",G166)),"","_")&amp;(_xlfn.TEXTJOIN("_",TRUE,IF(G166 &lt;&gt; "PAS",G166:H166,""))&amp;(IF(Table1[[#This Row],[Sub-Area]]&lt;&gt;"",_xlfn.CONCAT("_",Table1[[#This Row],[Sub-Area]]),"")))</f>
        <v>LAR_CAR_PLC_AB_SLC500_74PLC_9530</v>
      </c>
      <c r="L166" s="32" t="str">
        <f>IF(I166 &lt;&gt; "",I166&amp;":\PAS\CBR\ProcessedFiles\"&amp;Table1[[#This Row],[Units]]&amp;"\"&amp;Table1[[#This Row],[Asset Type]]&amp;"\"&amp;K166,"")</f>
        <v>D:\PAS\CBR\ProcessedFiles\CAR\PLC\LAR_CAR_PLC_AB_SLC500_74PLC_9530</v>
      </c>
      <c r="M166" s="33" t="str">
        <f>"MKDIR "&amp;Table1[[#This Row],[Suggested Folder Naming]]</f>
        <v>MKDIR D:\PAS\CBR\ProcessedFiles\CAR\PLC\LAR_CAR_PLC_AB_SLC500_74PLC_9530</v>
      </c>
    </row>
    <row r="167" spans="1:13" s="1" customFormat="1" x14ac:dyDescent="0.25">
      <c r="A167" s="21"/>
      <c r="B167" s="7" t="s">
        <v>584</v>
      </c>
      <c r="C167" s="8" t="s">
        <v>477</v>
      </c>
      <c r="D167" s="19" t="s">
        <v>101</v>
      </c>
      <c r="E167" s="30" t="s">
        <v>31</v>
      </c>
      <c r="F167" s="31" t="s">
        <v>93</v>
      </c>
      <c r="G167" s="31" t="s">
        <v>36</v>
      </c>
      <c r="H167" s="31" t="s">
        <v>401</v>
      </c>
      <c r="I167" s="41" t="s">
        <v>463</v>
      </c>
      <c r="J167" s="31" t="str">
        <f t="shared" si="2"/>
        <v>LAR_CAR</v>
      </c>
      <c r="K167" s="3" t="str">
        <f>J167&amp;"_"&amp;E167&amp;IF(ISNUMBER(SEARCH("PAS",G167)),"","_")&amp;(_xlfn.TEXTJOIN("_",TRUE,IF(G167 &lt;&gt; "PAS",G167:H167,""))&amp;(IF(Table1[[#This Row],[Sub-Area]]&lt;&gt;"",_xlfn.CONCAT("_",Table1[[#This Row],[Sub-Area]]),"")))</f>
        <v>LAR_CAR_PLC_AB_SLC500_74PLC_9531</v>
      </c>
      <c r="L167" s="32" t="str">
        <f>IF(I167 &lt;&gt; "",I167&amp;":\PAS\CBR\ProcessedFiles\"&amp;Table1[[#This Row],[Units]]&amp;"\"&amp;Table1[[#This Row],[Asset Type]]&amp;"\"&amp;K167,"")</f>
        <v>D:\PAS\CBR\ProcessedFiles\CAR\PLC\LAR_CAR_PLC_AB_SLC500_74PLC_9531</v>
      </c>
      <c r="M167" s="33" t="str">
        <f>"MKDIR "&amp;Table1[[#This Row],[Suggested Folder Naming]]</f>
        <v>MKDIR D:\PAS\CBR\ProcessedFiles\CAR\PLC\LAR_CAR_PLC_AB_SLC500_74PLC_9531</v>
      </c>
    </row>
    <row r="168" spans="1:13" s="1" customFormat="1" x14ac:dyDescent="0.25">
      <c r="A168" s="21"/>
      <c r="B168" s="7" t="s">
        <v>584</v>
      </c>
      <c r="C168" s="8" t="s">
        <v>477</v>
      </c>
      <c r="D168" s="19" t="s">
        <v>102</v>
      </c>
      <c r="E168" s="30" t="s">
        <v>31</v>
      </c>
      <c r="F168" s="31" t="s">
        <v>93</v>
      </c>
      <c r="G168" s="31" t="s">
        <v>36</v>
      </c>
      <c r="H168" s="31" t="s">
        <v>401</v>
      </c>
      <c r="I168" s="41" t="s">
        <v>463</v>
      </c>
      <c r="J168" s="31" t="str">
        <f t="shared" si="2"/>
        <v>LAR_CAR</v>
      </c>
      <c r="K168" s="3" t="str">
        <f>J168&amp;"_"&amp;E168&amp;IF(ISNUMBER(SEARCH("PAS",G168)),"","_")&amp;(_xlfn.TEXTJOIN("_",TRUE,IF(G168 &lt;&gt; "PAS",G168:H168,""))&amp;(IF(Table1[[#This Row],[Sub-Area]]&lt;&gt;"",_xlfn.CONCAT("_",Table1[[#This Row],[Sub-Area]]),"")))</f>
        <v>LAR_CAR_PLC_AB_SLC500_80PLC_9901B</v>
      </c>
      <c r="L168" s="32" t="str">
        <f>IF(I168 &lt;&gt; "",I168&amp;":\PAS\CBR\ProcessedFiles\"&amp;Table1[[#This Row],[Units]]&amp;"\"&amp;Table1[[#This Row],[Asset Type]]&amp;"\"&amp;K168,"")</f>
        <v>D:\PAS\CBR\ProcessedFiles\CAR\PLC\LAR_CAR_PLC_AB_SLC500_80PLC_9901B</v>
      </c>
      <c r="M168" s="33" t="str">
        <f>"MKDIR "&amp;Table1[[#This Row],[Suggested Folder Naming]]</f>
        <v>MKDIR D:\PAS\CBR\ProcessedFiles\CAR\PLC\LAR_CAR_PLC_AB_SLC500_80PLC_9901B</v>
      </c>
    </row>
    <row r="169" spans="1:13" s="1" customFormat="1" x14ac:dyDescent="0.25">
      <c r="A169" s="21"/>
      <c r="B169" s="7" t="s">
        <v>584</v>
      </c>
      <c r="C169" s="8" t="s">
        <v>477</v>
      </c>
      <c r="D169" s="19" t="s">
        <v>103</v>
      </c>
      <c r="E169" s="30" t="s">
        <v>31</v>
      </c>
      <c r="F169" s="31" t="s">
        <v>93</v>
      </c>
      <c r="G169" s="31" t="s">
        <v>36</v>
      </c>
      <c r="H169" s="31" t="s">
        <v>401</v>
      </c>
      <c r="I169" s="41" t="s">
        <v>463</v>
      </c>
      <c r="J169" s="31" t="str">
        <f t="shared" si="2"/>
        <v>LAR_CAR</v>
      </c>
      <c r="K169" s="3" t="str">
        <f>J169&amp;"_"&amp;E169&amp;IF(ISNUMBER(SEARCH("PAS",G169)),"","_")&amp;(_xlfn.TEXTJOIN("_",TRUE,IF(G169 &lt;&gt; "PAS",G169:H169,""))&amp;(IF(Table1[[#This Row],[Sub-Area]]&lt;&gt;"",_xlfn.CONCAT("_",Table1[[#This Row],[Sub-Area]]),"")))</f>
        <v>LAR_CAR_PLC_AB_SLC500_81PLC_9901C</v>
      </c>
      <c r="L169" s="32" t="str">
        <f>IF(I169 &lt;&gt; "",I169&amp;":\PAS\CBR\ProcessedFiles\"&amp;Table1[[#This Row],[Units]]&amp;"\"&amp;Table1[[#This Row],[Asset Type]]&amp;"\"&amp;K169,"")</f>
        <v>D:\PAS\CBR\ProcessedFiles\CAR\PLC\LAR_CAR_PLC_AB_SLC500_81PLC_9901C</v>
      </c>
      <c r="M169" s="33" t="str">
        <f>"MKDIR "&amp;Table1[[#This Row],[Suggested Folder Naming]]</f>
        <v>MKDIR D:\PAS\CBR\ProcessedFiles\CAR\PLC\LAR_CAR_PLC_AB_SLC500_81PLC_9901C</v>
      </c>
    </row>
    <row r="170" spans="1:13" s="1" customFormat="1" x14ac:dyDescent="0.25">
      <c r="A170" s="21"/>
      <c r="B170" s="7" t="s">
        <v>584</v>
      </c>
      <c r="C170" s="8" t="s">
        <v>477</v>
      </c>
      <c r="D170" s="19" t="s">
        <v>104</v>
      </c>
      <c r="E170" s="30" t="s">
        <v>31</v>
      </c>
      <c r="F170" s="31" t="s">
        <v>93</v>
      </c>
      <c r="G170" s="31" t="str">
        <f>_xlfn.IFNA(VLOOKUP(F170,'Look Table'!B$1:E$64,3,FALSE),"")</f>
        <v>AB</v>
      </c>
      <c r="H170" s="31" t="str">
        <f>_xlfn.IFNA(VLOOKUP(F170,'Look Table'!B$1:E$64,4,FALSE),"")</f>
        <v>SLC500</v>
      </c>
      <c r="I170" s="41" t="s">
        <v>463</v>
      </c>
      <c r="J170" s="31" t="str">
        <f t="shared" si="2"/>
        <v>LAR_CAR</v>
      </c>
      <c r="K170" s="3" t="str">
        <f>J170&amp;"_"&amp;E170&amp;IF(ISNUMBER(SEARCH("PAS",G170)),"","_")&amp;(_xlfn.TEXTJOIN("_",TRUE,IF(G170 &lt;&gt; "PAS",G170:H170,""))&amp;(IF(Table1[[#This Row],[Sub-Area]]&lt;&gt;"",_xlfn.CONCAT("_",Table1[[#This Row],[Sub-Area]]),"")))</f>
        <v>LAR_CAR_PLC_AB_SLC500_83PLC_9013</v>
      </c>
      <c r="L170" s="32" t="str">
        <f>IF(I170 &lt;&gt; "",I170&amp;":\PAS\CBR\ProcessedFiles\"&amp;Table1[[#This Row],[Units]]&amp;"\"&amp;Table1[[#This Row],[Asset Type]]&amp;"\"&amp;K170,"")</f>
        <v>D:\PAS\CBR\ProcessedFiles\CAR\PLC\LAR_CAR_PLC_AB_SLC500_83PLC_9013</v>
      </c>
      <c r="M170" s="33" t="str">
        <f>"MKDIR "&amp;Table1[[#This Row],[Suggested Folder Naming]]</f>
        <v>MKDIR D:\PAS\CBR\ProcessedFiles\CAR\PLC\LAR_CAR_PLC_AB_SLC500_83PLC_9013</v>
      </c>
    </row>
    <row r="171" spans="1:13" s="1" customFormat="1" x14ac:dyDescent="0.25">
      <c r="A171" s="21"/>
      <c r="B171" s="7" t="s">
        <v>584</v>
      </c>
      <c r="C171" s="8" t="s">
        <v>477</v>
      </c>
      <c r="D171" s="19" t="s">
        <v>105</v>
      </c>
      <c r="E171" s="30" t="s">
        <v>31</v>
      </c>
      <c r="F171" s="31" t="s">
        <v>93</v>
      </c>
      <c r="G171" s="31" t="s">
        <v>36</v>
      </c>
      <c r="H171" s="31" t="s">
        <v>401</v>
      </c>
      <c r="I171" s="41" t="s">
        <v>463</v>
      </c>
      <c r="J171" s="31" t="str">
        <f t="shared" si="2"/>
        <v>LAR_CAR</v>
      </c>
      <c r="K171" s="3" t="str">
        <f>J171&amp;"_"&amp;E171&amp;IF(ISNUMBER(SEARCH("PAS",G171)),"","_")&amp;(_xlfn.TEXTJOIN("_",TRUE,IF(G171 &lt;&gt; "PAS",G171:H171,""))&amp;(IF(Table1[[#This Row],[Sub-Area]]&lt;&gt;"",_xlfn.CONCAT("_",Table1[[#This Row],[Sub-Area]]),"")))</f>
        <v>LAR_CAR_PLC_AB_SLC500_83PLC_9534</v>
      </c>
      <c r="L171" s="32" t="str">
        <f>IF(I171 &lt;&gt; "",I171&amp;":\PAS\CBR\ProcessedFiles\"&amp;Table1[[#This Row],[Units]]&amp;"\"&amp;Table1[[#This Row],[Asset Type]]&amp;"\"&amp;K171,"")</f>
        <v>D:\PAS\CBR\ProcessedFiles\CAR\PLC\LAR_CAR_PLC_AB_SLC500_83PLC_9534</v>
      </c>
      <c r="M171" s="33" t="str">
        <f>"MKDIR "&amp;Table1[[#This Row],[Suggested Folder Naming]]</f>
        <v>MKDIR D:\PAS\CBR\ProcessedFiles\CAR\PLC\LAR_CAR_PLC_AB_SLC500_83PLC_9534</v>
      </c>
    </row>
    <row r="172" spans="1:13" s="1" customFormat="1" x14ac:dyDescent="0.25">
      <c r="A172" s="21"/>
      <c r="B172" s="7" t="s">
        <v>584</v>
      </c>
      <c r="C172" s="8" t="s">
        <v>477</v>
      </c>
      <c r="D172" s="19" t="s">
        <v>106</v>
      </c>
      <c r="E172" s="30" t="s">
        <v>31</v>
      </c>
      <c r="F172" s="31" t="s">
        <v>93</v>
      </c>
      <c r="G172" s="31" t="str">
        <f>_xlfn.IFNA(VLOOKUP(F172,'Look Table'!B$1:E$64,3,FALSE),"")</f>
        <v>AB</v>
      </c>
      <c r="H172" s="31" t="str">
        <f>_xlfn.IFNA(VLOOKUP(F172,'Look Table'!B$1:E$64,4,FALSE),"")</f>
        <v>SLC500</v>
      </c>
      <c r="I172" s="41" t="s">
        <v>463</v>
      </c>
      <c r="J172" s="31" t="str">
        <f t="shared" si="2"/>
        <v>LAR_CAR</v>
      </c>
      <c r="K172" s="3" t="str">
        <f>J172&amp;"_"&amp;E172&amp;IF(ISNUMBER(SEARCH("PAS",G172)),"","_")&amp;(_xlfn.TEXTJOIN("_",TRUE,IF(G172 &lt;&gt; "PAS",G172:H172,""))&amp;(IF(Table1[[#This Row],[Sub-Area]]&lt;&gt;"",_xlfn.CONCAT("_",Table1[[#This Row],[Sub-Area]]),"")))</f>
        <v>LAR_CAR_PLC_AB_SLC500_84PLC_9535</v>
      </c>
      <c r="L172" s="32" t="str">
        <f>IF(I172 &lt;&gt; "",I172&amp;":\PAS\CBR\ProcessedFiles\"&amp;Table1[[#This Row],[Units]]&amp;"\"&amp;Table1[[#This Row],[Asset Type]]&amp;"\"&amp;K172,"")</f>
        <v>D:\PAS\CBR\ProcessedFiles\CAR\PLC\LAR_CAR_PLC_AB_SLC500_84PLC_9535</v>
      </c>
      <c r="M172" s="33" t="str">
        <f>"MKDIR "&amp;Table1[[#This Row],[Suggested Folder Naming]]</f>
        <v>MKDIR D:\PAS\CBR\ProcessedFiles\CAR\PLC\LAR_CAR_PLC_AB_SLC500_84PLC_9535</v>
      </c>
    </row>
    <row r="173" spans="1:13" s="1" customFormat="1" x14ac:dyDescent="0.25">
      <c r="A173" s="21"/>
      <c r="B173" s="7" t="s">
        <v>584</v>
      </c>
      <c r="C173" s="8" t="s">
        <v>477</v>
      </c>
      <c r="D173" s="19" t="s">
        <v>525</v>
      </c>
      <c r="E173" s="30" t="s">
        <v>31</v>
      </c>
      <c r="F173" s="31" t="s">
        <v>93</v>
      </c>
      <c r="G173" s="31" t="str">
        <f>_xlfn.IFNA(VLOOKUP(F173,'[1]Look Table'!B$1:E$75,3,FALSE),"")</f>
        <v>AB</v>
      </c>
      <c r="H173" s="31" t="str">
        <f>_xlfn.IFNA(VLOOKUP(F173,'[1]Look Table'!B$1:E$75,4,FALSE),"")</f>
        <v>SLC500</v>
      </c>
      <c r="I173" s="41" t="s">
        <v>463</v>
      </c>
      <c r="J173" s="31" t="str">
        <f t="shared" si="2"/>
        <v>LAR_CAR</v>
      </c>
      <c r="K173" s="3" t="str">
        <f>J173&amp;"_"&amp;E173&amp;IF(ISNUMBER(SEARCH("PAS",G173)),"","_")&amp;(_xlfn.TEXTJOIN("_",TRUE,IF(G173 &lt;&gt; "PAS",G173:H173,""))&amp;(IF(Table1[[#This Row],[Sub-Area]]&lt;&gt;"",_xlfn.CONCAT("_",Table1[[#This Row],[Sub-Area]]),"")))</f>
        <v>LAR_CAR_PLC_AB_SLC500_ANLZ_73PLC_9514</v>
      </c>
      <c r="L173" s="32" t="str">
        <f>IF(I173 &lt;&gt; "",I173&amp;":\PAS\CBR\ProcessedFiles\"&amp;Table1[[#This Row],[Units]]&amp;"\"&amp;Table1[[#This Row],[Asset Type]]&amp;"\"&amp;K173,"")</f>
        <v>D:\PAS\CBR\ProcessedFiles\CAR\PLC\LAR_CAR_PLC_AB_SLC500_ANLZ_73PLC_9514</v>
      </c>
      <c r="M173" s="1" t="str">
        <f>"MKDIR "&amp;Table1[[#This Row],[Suggested Folder Naming]]</f>
        <v>MKDIR D:\PAS\CBR\ProcessedFiles\CAR\PLC\LAR_CAR_PLC_AB_SLC500_ANLZ_73PLC_9514</v>
      </c>
    </row>
    <row r="174" spans="1:13" s="1" customFormat="1" x14ac:dyDescent="0.25">
      <c r="A174" s="21"/>
      <c r="B174" s="7" t="s">
        <v>584</v>
      </c>
      <c r="C174" s="8" t="s">
        <v>477</v>
      </c>
      <c r="D174" s="19" t="s">
        <v>107</v>
      </c>
      <c r="E174" s="30" t="s">
        <v>31</v>
      </c>
      <c r="F174" s="31" t="s">
        <v>93</v>
      </c>
      <c r="G174" s="31" t="s">
        <v>36</v>
      </c>
      <c r="H174" s="31" t="s">
        <v>401</v>
      </c>
      <c r="I174" s="41" t="s">
        <v>463</v>
      </c>
      <c r="J174" s="31" t="str">
        <f t="shared" si="2"/>
        <v>LAR_CAR</v>
      </c>
      <c r="K174" s="3" t="str">
        <f>J174&amp;"_"&amp;E174&amp;IF(ISNUMBER(SEARCH("PAS",G174)),"","_")&amp;(_xlfn.TEXTJOIN("_",TRUE,IF(G174 &lt;&gt; "PAS",G174:H174,""))&amp;(IF(Table1[[#This Row],[Sub-Area]]&lt;&gt;"",_xlfn.CONCAT("_",Table1[[#This Row],[Sub-Area]]),"")))</f>
        <v>LAR_CAR_PLC_AB_SLC500_Coker_Unit_Danger</v>
      </c>
      <c r="L174" s="32" t="str">
        <f>IF(I174 &lt;&gt; "",I174&amp;":\PAS\CBR\ProcessedFiles\"&amp;Table1[[#This Row],[Units]]&amp;"\"&amp;Table1[[#This Row],[Asset Type]]&amp;"\"&amp;K174,"")</f>
        <v>D:\PAS\CBR\ProcessedFiles\CAR\PLC\LAR_CAR_PLC_AB_SLC500_Coker_Unit_Danger</v>
      </c>
      <c r="M174" s="33" t="str">
        <f>"MKDIR "&amp;Table1[[#This Row],[Suggested Folder Naming]]</f>
        <v>MKDIR D:\PAS\CBR\ProcessedFiles\CAR\PLC\LAR_CAR_PLC_AB_SLC500_Coker_Unit_Danger</v>
      </c>
    </row>
    <row r="175" spans="1:13" s="1" customFormat="1" x14ac:dyDescent="0.25">
      <c r="A175" s="21"/>
      <c r="B175" s="7" t="s">
        <v>584</v>
      </c>
      <c r="C175" s="8" t="s">
        <v>477</v>
      </c>
      <c r="D175" s="19" t="s">
        <v>108</v>
      </c>
      <c r="E175" s="30" t="s">
        <v>31</v>
      </c>
      <c r="F175" s="31" t="s">
        <v>93</v>
      </c>
      <c r="G175" s="31" t="s">
        <v>36</v>
      </c>
      <c r="H175" s="31" t="s">
        <v>401</v>
      </c>
      <c r="I175" s="41" t="s">
        <v>463</v>
      </c>
      <c r="J175" s="31" t="str">
        <f t="shared" si="2"/>
        <v>LAR_CAR</v>
      </c>
      <c r="K175" s="3" t="str">
        <f>J175&amp;"_"&amp;E175&amp;IF(ISNUMBER(SEARCH("PAS",G175)),"","_")&amp;(_xlfn.TEXTJOIN("_",TRUE,IF(G175 &lt;&gt; "PAS",G175:H175,""))&amp;(IF(Table1[[#This Row],[Sub-Area]]&lt;&gt;"",_xlfn.CONCAT("_",Table1[[#This Row],[Sub-Area]]),"")))</f>
        <v>LAR_CAR_PLC_AB_SLC500_Sulfur_Unit_Danger</v>
      </c>
      <c r="L175" s="32" t="str">
        <f>IF(I175 &lt;&gt; "",I175&amp;":\PAS\CBR\ProcessedFiles\"&amp;Table1[[#This Row],[Units]]&amp;"\"&amp;Table1[[#This Row],[Asset Type]]&amp;"\"&amp;K175,"")</f>
        <v>D:\PAS\CBR\ProcessedFiles\CAR\PLC\LAR_CAR_PLC_AB_SLC500_Sulfur_Unit_Danger</v>
      </c>
      <c r="M175" s="33" t="str">
        <f>"MKDIR "&amp;Table1[[#This Row],[Suggested Folder Naming]]</f>
        <v>MKDIR D:\PAS\CBR\ProcessedFiles\CAR\PLC\LAR_CAR_PLC_AB_SLC500_Sulfur_Unit_Danger</v>
      </c>
    </row>
    <row r="176" spans="1:13" s="1" customFormat="1" x14ac:dyDescent="0.25">
      <c r="A176" s="21"/>
      <c r="B176" s="7" t="s">
        <v>584</v>
      </c>
      <c r="C176" s="8" t="s">
        <v>480</v>
      </c>
      <c r="D176" s="19" t="s">
        <v>110</v>
      </c>
      <c r="E176" s="30" t="s">
        <v>31</v>
      </c>
      <c r="F176" s="31" t="s">
        <v>93</v>
      </c>
      <c r="G176" s="31" t="s">
        <v>36</v>
      </c>
      <c r="H176" s="31" t="s">
        <v>401</v>
      </c>
      <c r="I176" s="41" t="s">
        <v>463</v>
      </c>
      <c r="J176" s="31" t="str">
        <f t="shared" si="2"/>
        <v>LAR_WCC</v>
      </c>
      <c r="K176" s="3" t="str">
        <f>J176&amp;"_"&amp;E176&amp;IF(ISNUMBER(SEARCH("PAS",G176)),"","_")&amp;(_xlfn.TEXTJOIN("_",TRUE,IF(G176 &lt;&gt; "PAS",G176:H176,""))&amp;(IF(Table1[[#This Row],[Sub-Area]]&lt;&gt;"",_xlfn.CONCAT("_",Table1[[#This Row],[Sub-Area]]),"")))</f>
        <v>LAR_WCC_PLC_AB_SLC500_Fuel_Transfer</v>
      </c>
      <c r="L176" s="32" t="str">
        <f>IF(I176 &lt;&gt; "",I176&amp;":\PAS\CBR\ProcessedFiles\"&amp;Table1[[#This Row],[Units]]&amp;"\"&amp;Table1[[#This Row],[Asset Type]]&amp;"\"&amp;K176,"")</f>
        <v>D:\PAS\CBR\ProcessedFiles\WCC\PLC\LAR_WCC_PLC_AB_SLC500_Fuel_Transfer</v>
      </c>
      <c r="M176" s="33" t="str">
        <f>"MKDIR "&amp;Table1[[#This Row],[Suggested Folder Naming]]</f>
        <v>MKDIR D:\PAS\CBR\ProcessedFiles\WCC\PLC\LAR_WCC_PLC_AB_SLC500_Fuel_Transfer</v>
      </c>
    </row>
    <row r="177" spans="1:13" s="1" customFormat="1" x14ac:dyDescent="0.25">
      <c r="A177" s="21"/>
      <c r="B177" s="7" t="s">
        <v>584</v>
      </c>
      <c r="C177" s="8" t="s">
        <v>480</v>
      </c>
      <c r="D177" s="19" t="s">
        <v>111</v>
      </c>
      <c r="E177" s="30" t="s">
        <v>31</v>
      </c>
      <c r="F177" s="31" t="s">
        <v>93</v>
      </c>
      <c r="G177" s="31" t="s">
        <v>36</v>
      </c>
      <c r="H177" s="31" t="s">
        <v>401</v>
      </c>
      <c r="I177" s="41" t="s">
        <v>463</v>
      </c>
      <c r="J177" s="31" t="str">
        <f t="shared" si="2"/>
        <v>LAR_WCC</v>
      </c>
      <c r="K177" s="3" t="str">
        <f>J177&amp;"_"&amp;E177&amp;IF(ISNUMBER(SEARCH("PAS",G177)),"","_")&amp;(_xlfn.TEXTJOIN("_",TRUE,IF(G177 &lt;&gt; "PAS",G177:H177,""))&amp;(IF(Table1[[#This Row],[Sub-Area]]&lt;&gt;"",_xlfn.CONCAT("_",Table1[[#This Row],[Sub-Area]]),"")))</f>
        <v>LAR_WCC_PLC_AB_SLC500_Hot_Lime_Injection</v>
      </c>
      <c r="L177" s="32" t="str">
        <f>IF(I177 &lt;&gt; "",I177&amp;":\PAS\CBR\ProcessedFiles\"&amp;Table1[[#This Row],[Units]]&amp;"\"&amp;Table1[[#This Row],[Asset Type]]&amp;"\"&amp;K177,"")</f>
        <v>D:\PAS\CBR\ProcessedFiles\WCC\PLC\LAR_WCC_PLC_AB_SLC500_Hot_Lime_Injection</v>
      </c>
      <c r="M177" s="33" t="str">
        <f>"MKDIR "&amp;Table1[[#This Row],[Suggested Folder Naming]]</f>
        <v>MKDIR D:\PAS\CBR\ProcessedFiles\WCC\PLC\LAR_WCC_PLC_AB_SLC500_Hot_Lime_Injection</v>
      </c>
    </row>
    <row r="178" spans="1:13" s="1" customFormat="1" x14ac:dyDescent="0.25">
      <c r="A178" s="21"/>
      <c r="B178" s="7" t="s">
        <v>584</v>
      </c>
      <c r="C178" s="8" t="s">
        <v>480</v>
      </c>
      <c r="D178" s="19" t="s">
        <v>112</v>
      </c>
      <c r="E178" s="30" t="s">
        <v>31</v>
      </c>
      <c r="F178" s="31" t="s">
        <v>93</v>
      </c>
      <c r="G178" s="31" t="s">
        <v>36</v>
      </c>
      <c r="H178" s="31" t="s">
        <v>401</v>
      </c>
      <c r="I178" s="41" t="s">
        <v>463</v>
      </c>
      <c r="J178" s="31" t="str">
        <f t="shared" si="2"/>
        <v>LAR_WCC</v>
      </c>
      <c r="K178" s="3" t="str">
        <f>J178&amp;"_"&amp;E178&amp;IF(ISNUMBER(SEARCH("PAS",G178)),"","_")&amp;(_xlfn.TEXTJOIN("_",TRUE,IF(G178 &lt;&gt; "PAS",G178:H178,""))&amp;(IF(Table1[[#This Row],[Sub-Area]]&lt;&gt;"",_xlfn.CONCAT("_",Table1[[#This Row],[Sub-Area]]),"")))</f>
        <v>LAR_WCC_PLC_AB_SLC500_WCC_91_Fog_Skid</v>
      </c>
      <c r="L178" s="32" t="str">
        <f>IF(I178 &lt;&gt; "",I178&amp;":\PAS\CBR\ProcessedFiles\"&amp;Table1[[#This Row],[Units]]&amp;"\"&amp;Table1[[#This Row],[Asset Type]]&amp;"\"&amp;K178,"")</f>
        <v>D:\PAS\CBR\ProcessedFiles\WCC\PLC\LAR_WCC_PLC_AB_SLC500_WCC_91_Fog_Skid</v>
      </c>
      <c r="M178" s="33" t="str">
        <f>"MKDIR "&amp;Table1[[#This Row],[Suggested Folder Naming]]</f>
        <v>MKDIR D:\PAS\CBR\ProcessedFiles\WCC\PLC\LAR_WCC_PLC_AB_SLC500_WCC_91_Fog_Skid</v>
      </c>
    </row>
    <row r="179" spans="1:13" s="1" customFormat="1" x14ac:dyDescent="0.25">
      <c r="A179" s="21"/>
      <c r="B179" s="7" t="s">
        <v>584</v>
      </c>
      <c r="C179" s="8" t="s">
        <v>480</v>
      </c>
      <c r="D179" s="19" t="s">
        <v>113</v>
      </c>
      <c r="E179" s="30" t="s">
        <v>31</v>
      </c>
      <c r="F179" s="31" t="s">
        <v>93</v>
      </c>
      <c r="G179" s="31" t="s">
        <v>36</v>
      </c>
      <c r="H179" s="31" t="s">
        <v>401</v>
      </c>
      <c r="I179" s="41" t="s">
        <v>463</v>
      </c>
      <c r="J179" s="31" t="str">
        <f t="shared" si="2"/>
        <v>LAR_WCC</v>
      </c>
      <c r="K179" s="3" t="str">
        <f>J179&amp;"_"&amp;E179&amp;IF(ISNUMBER(SEARCH("PAS",G179)),"","_")&amp;(_xlfn.TEXTJOIN("_",TRUE,IF(G179 &lt;&gt; "PAS",G179:H179,""))&amp;(IF(Table1[[#This Row],[Sub-Area]]&lt;&gt;"",_xlfn.CONCAT("_",Table1[[#This Row],[Sub-Area]]),"")))</f>
        <v>LAR_WCC_PLC_AB_SLC500_WCC_93_Fog_Skid</v>
      </c>
      <c r="L179" s="32" t="str">
        <f>IF(I179 &lt;&gt; "",I179&amp;":\PAS\CBR\ProcessedFiles\"&amp;Table1[[#This Row],[Units]]&amp;"\"&amp;Table1[[#This Row],[Asset Type]]&amp;"\"&amp;K179,"")</f>
        <v>D:\PAS\CBR\ProcessedFiles\WCC\PLC\LAR_WCC_PLC_AB_SLC500_WCC_93_Fog_Skid</v>
      </c>
      <c r="M179" s="33" t="str">
        <f>"MKDIR "&amp;Table1[[#This Row],[Suggested Folder Naming]]</f>
        <v>MKDIR D:\PAS\CBR\ProcessedFiles\WCC\PLC\LAR_WCC_PLC_AB_SLC500_WCC_93_Fog_Skid</v>
      </c>
    </row>
    <row r="180" spans="1:13" s="1" customFormat="1" x14ac:dyDescent="0.25">
      <c r="A180" s="21"/>
      <c r="B180" s="7" t="s">
        <v>584</v>
      </c>
      <c r="C180" s="8" t="s">
        <v>480</v>
      </c>
      <c r="D180" s="19" t="s">
        <v>114</v>
      </c>
      <c r="E180" s="30" t="s">
        <v>31</v>
      </c>
      <c r="F180" s="31" t="s">
        <v>93</v>
      </c>
      <c r="G180" s="31" t="s">
        <v>36</v>
      </c>
      <c r="H180" s="31" t="s">
        <v>401</v>
      </c>
      <c r="I180" s="41" t="s">
        <v>463</v>
      </c>
      <c r="J180" s="31" t="str">
        <f t="shared" si="2"/>
        <v>LAR_WCC</v>
      </c>
      <c r="K180" s="3" t="str">
        <f>J180&amp;"_"&amp;E180&amp;IF(ISNUMBER(SEARCH("PAS",G180)),"","_")&amp;(_xlfn.TEXTJOIN("_",TRUE,IF(G180 &lt;&gt; "PAS",G180:H180,""))&amp;(IF(Table1[[#This Row],[Sub-Area]]&lt;&gt;"",_xlfn.CONCAT("_",Table1[[#This Row],[Sub-Area]]),"")))</f>
        <v>LAR_WCC_PLC_AB_SLC500_WCC_94_Fog_Skid</v>
      </c>
      <c r="L180" s="32" t="str">
        <f>IF(I180 &lt;&gt; "",I180&amp;":\PAS\CBR\ProcessedFiles\"&amp;Table1[[#This Row],[Units]]&amp;"\"&amp;Table1[[#This Row],[Asset Type]]&amp;"\"&amp;K180,"")</f>
        <v>D:\PAS\CBR\ProcessedFiles\WCC\PLC\LAR_WCC_PLC_AB_SLC500_WCC_94_Fog_Skid</v>
      </c>
      <c r="M180" s="33" t="str">
        <f>"MKDIR "&amp;Table1[[#This Row],[Suggested Folder Naming]]</f>
        <v>MKDIR D:\PAS\CBR\ProcessedFiles\WCC\PLC\LAR_WCC_PLC_AB_SLC500_WCC_94_Fog_Skid</v>
      </c>
    </row>
    <row r="181" spans="1:13" s="1" customFormat="1" x14ac:dyDescent="0.25">
      <c r="A181" s="21"/>
      <c r="B181" s="7" t="s">
        <v>584</v>
      </c>
      <c r="C181" s="8" t="s">
        <v>480</v>
      </c>
      <c r="D181" s="19" t="s">
        <v>109</v>
      </c>
      <c r="E181" s="30" t="s">
        <v>31</v>
      </c>
      <c r="F181" s="31" t="s">
        <v>93</v>
      </c>
      <c r="G181" s="31" t="s">
        <v>36</v>
      </c>
      <c r="H181" s="31" t="str">
        <f>_xlfn.IFNA(VLOOKUP(F181,'[1]Look Table'!B$1:E$75,4,FALSE),"")</f>
        <v>SLC500</v>
      </c>
      <c r="I181" s="41" t="s">
        <v>463</v>
      </c>
      <c r="J181" s="31" t="str">
        <f t="shared" si="2"/>
        <v>LAR_WCC</v>
      </c>
      <c r="K181" s="3" t="str">
        <f>J181&amp;"_"&amp;E181&amp;IF(ISNUMBER(SEARCH("PAS",G181)),"","_")&amp;(_xlfn.TEXTJOIN("_",TRUE,IF(G181 &lt;&gt; "PAS",G181:H181,""))&amp;(IF(Table1[[#This Row],[Sub-Area]]&lt;&gt;"",_xlfn.CONCAT("_",Table1[[#This Row],[Sub-Area]]),"")))</f>
        <v>LAR_WCC_PLC_AB_SLC500_Butane_Blower</v>
      </c>
      <c r="L181" s="32" t="str">
        <f>IF(I181 &lt;&gt; "",I181&amp;":\PAS\CBR\ProcessedFiles\"&amp;Table1[[#This Row],[Units]]&amp;"\"&amp;Table1[[#This Row],[Asset Type]]&amp;"\"&amp;K181,"")</f>
        <v>D:\PAS\CBR\ProcessedFiles\WCC\PLC\LAR_WCC_PLC_AB_SLC500_Butane_Blower</v>
      </c>
      <c r="M181" s="33" t="str">
        <f>"MKDIR "&amp;Table1[[#This Row],[Suggested Folder Naming]]</f>
        <v>MKDIR D:\PAS\CBR\ProcessedFiles\WCC\PLC\LAR_WCC_PLC_AB_SLC500_Butane_Blower</v>
      </c>
    </row>
    <row r="182" spans="1:13" s="1" customFormat="1" x14ac:dyDescent="0.25">
      <c r="A182" s="21"/>
      <c r="B182" s="7" t="s">
        <v>584</v>
      </c>
      <c r="C182" s="8" t="s">
        <v>475</v>
      </c>
      <c r="D182" s="19" t="s">
        <v>115</v>
      </c>
      <c r="E182" s="30" t="s">
        <v>31</v>
      </c>
      <c r="F182" s="31" t="s">
        <v>93</v>
      </c>
      <c r="G182" s="31" t="str">
        <f>_xlfn.IFNA(VLOOKUP(F182,'Look Table'!B$1:E$64,3,FALSE),"")</f>
        <v>AB</v>
      </c>
      <c r="H182" s="31" t="str">
        <f>_xlfn.IFNA(VLOOKUP(F182,'Look Table'!B$1:E$64,4,FALSE),"")</f>
        <v>SLC500</v>
      </c>
      <c r="I182" s="41" t="s">
        <v>463</v>
      </c>
      <c r="J182" s="31" t="str">
        <f t="shared" si="2"/>
        <v>LAR_WIL</v>
      </c>
      <c r="K182" s="3" t="str">
        <f>J182&amp;"_"&amp;E182&amp;IF(ISNUMBER(SEARCH("PAS",G182)),"","_")&amp;(_xlfn.TEXTJOIN("_",TRUE,IF(G182 &lt;&gt; "PAS",G182:H182,""))&amp;(IF(Table1[[#This Row],[Sub-Area]]&lt;&gt;"",_xlfn.CONCAT("_",Table1[[#This Row],[Sub-Area]]),"")))</f>
        <v>LAR_WIL_PLC_AB_SLC500_45LCP_01A</v>
      </c>
      <c r="L182" s="32" t="str">
        <f>IF(I182 &lt;&gt; "",I182&amp;":\PAS\CBR\ProcessedFiles\"&amp;Table1[[#This Row],[Units]]&amp;"\"&amp;Table1[[#This Row],[Asset Type]]&amp;"\"&amp;K182,"")</f>
        <v>D:\PAS\CBR\ProcessedFiles\WIL\PLC\LAR_WIL_PLC_AB_SLC500_45LCP_01A</v>
      </c>
      <c r="M182" s="33" t="str">
        <f>"MKDIR "&amp;Table1[[#This Row],[Suggested Folder Naming]]</f>
        <v>MKDIR D:\PAS\CBR\ProcessedFiles\WIL\PLC\LAR_WIL_PLC_AB_SLC500_45LCP_01A</v>
      </c>
    </row>
    <row r="183" spans="1:13" s="1" customFormat="1" x14ac:dyDescent="0.25">
      <c r="A183" s="21"/>
      <c r="B183" s="7" t="s">
        <v>584</v>
      </c>
      <c r="C183" s="8" t="s">
        <v>475</v>
      </c>
      <c r="D183" s="19" t="s">
        <v>116</v>
      </c>
      <c r="E183" s="30" t="s">
        <v>31</v>
      </c>
      <c r="F183" s="31" t="s">
        <v>93</v>
      </c>
      <c r="G183" s="31" t="str">
        <f>_xlfn.IFNA(VLOOKUP(F183,'Look Table'!B$1:E$64,3,FALSE),"")</f>
        <v>AB</v>
      </c>
      <c r="H183" s="31" t="str">
        <f>_xlfn.IFNA(VLOOKUP(F183,'Look Table'!B$1:E$64,4,FALSE),"")</f>
        <v>SLC500</v>
      </c>
      <c r="I183" s="41" t="s">
        <v>463</v>
      </c>
      <c r="J183" s="31" t="str">
        <f t="shared" si="2"/>
        <v>LAR_WIL</v>
      </c>
      <c r="K183" s="3" t="str">
        <f>J183&amp;"_"&amp;E183&amp;IF(ISNUMBER(SEARCH("PAS",G183)),"","_")&amp;(_xlfn.TEXTJOIN("_",TRUE,IF(G183 &lt;&gt; "PAS",G183:H183,""))&amp;(IF(Table1[[#This Row],[Sub-Area]]&lt;&gt;"",_xlfn.CONCAT("_",Table1[[#This Row],[Sub-Area]]),"")))</f>
        <v>LAR_WIL_PLC_AB_SLC500_45LCP_02</v>
      </c>
      <c r="L183" s="32" t="str">
        <f>IF(I183 &lt;&gt; "",I183&amp;":\PAS\CBR\ProcessedFiles\"&amp;Table1[[#This Row],[Units]]&amp;"\"&amp;Table1[[#This Row],[Asset Type]]&amp;"\"&amp;K183,"")</f>
        <v>D:\PAS\CBR\ProcessedFiles\WIL\PLC\LAR_WIL_PLC_AB_SLC500_45LCP_02</v>
      </c>
      <c r="M183" s="33" t="str">
        <f>"MKDIR "&amp;Table1[[#This Row],[Suggested Folder Naming]]</f>
        <v>MKDIR D:\PAS\CBR\ProcessedFiles\WIL\PLC\LAR_WIL_PLC_AB_SLC500_45LCP_02</v>
      </c>
    </row>
    <row r="184" spans="1:13" s="1" customFormat="1" x14ac:dyDescent="0.25">
      <c r="A184" s="21"/>
      <c r="B184" s="7" t="s">
        <v>584</v>
      </c>
      <c r="C184" s="8" t="s">
        <v>475</v>
      </c>
      <c r="D184" s="19" t="s">
        <v>522</v>
      </c>
      <c r="E184" s="30" t="s">
        <v>31</v>
      </c>
      <c r="F184" s="31" t="s">
        <v>93</v>
      </c>
      <c r="G184" s="31" t="str">
        <f>_xlfn.IFNA(VLOOKUP(F184,'[1]Look Table'!B$1:E$75,3,FALSE),"")</f>
        <v>AB</v>
      </c>
      <c r="H184" s="31" t="str">
        <f>_xlfn.IFNA(VLOOKUP(F184,'[1]Look Table'!B$1:E$75,4,FALSE),"")</f>
        <v>SLC500</v>
      </c>
      <c r="I184" s="41" t="s">
        <v>463</v>
      </c>
      <c r="J184" s="31" t="str">
        <f t="shared" si="2"/>
        <v>LAR_WIL</v>
      </c>
      <c r="K184" s="3" t="str">
        <f>J184&amp;"_"&amp;E184&amp;IF(ISNUMBER(SEARCH("PAS",G184)),"","_")&amp;(_xlfn.TEXTJOIN("_",TRUE,IF(G184 &lt;&gt; "PAS",G184:H184,""))&amp;(IF(Table1[[#This Row],[Sub-Area]]&lt;&gt;"",_xlfn.CONCAT("_",Table1[[#This Row],[Sub-Area]]),"")))</f>
        <v>LAR_WIL_PLC_AB_SLC500_ANLZ_73PLC_9510</v>
      </c>
      <c r="L184" s="32" t="str">
        <f>IF(I184 &lt;&gt; "",I184&amp;":\PAS\CBR\ProcessedFiles\"&amp;Table1[[#This Row],[Units]]&amp;"\"&amp;Table1[[#This Row],[Asset Type]]&amp;"\"&amp;K184,"")</f>
        <v>D:\PAS\CBR\ProcessedFiles\WIL\PLC\LAR_WIL_PLC_AB_SLC500_ANLZ_73PLC_9510</v>
      </c>
      <c r="M184" s="1" t="str">
        <f>"MKDIR "&amp;Table1[[#This Row],[Suggested Folder Naming]]</f>
        <v>MKDIR D:\PAS\CBR\ProcessedFiles\WIL\PLC\LAR_WIL_PLC_AB_SLC500_ANLZ_73PLC_9510</v>
      </c>
    </row>
    <row r="185" spans="1:13" s="1" customFormat="1" x14ac:dyDescent="0.25">
      <c r="A185" s="21"/>
      <c r="B185" s="7" t="s">
        <v>584</v>
      </c>
      <c r="C185" s="8" t="s">
        <v>475</v>
      </c>
      <c r="D185" s="19" t="s">
        <v>523</v>
      </c>
      <c r="E185" s="30" t="s">
        <v>31</v>
      </c>
      <c r="F185" s="31" t="s">
        <v>93</v>
      </c>
      <c r="G185" s="31" t="str">
        <f>_xlfn.IFNA(VLOOKUP(F185,'[1]Look Table'!B$1:E$75,3,FALSE),"")</f>
        <v>AB</v>
      </c>
      <c r="H185" s="31" t="str">
        <f>_xlfn.IFNA(VLOOKUP(F185,'[1]Look Table'!B$1:E$75,4,FALSE),"")</f>
        <v>SLC500</v>
      </c>
      <c r="I185" s="41" t="s">
        <v>463</v>
      </c>
      <c r="J185" s="31" t="str">
        <f t="shared" si="2"/>
        <v>LAR_WIL</v>
      </c>
      <c r="K185" s="3" t="str">
        <f>J185&amp;"_"&amp;E185&amp;IF(ISNUMBER(SEARCH("PAS",G185)),"","_")&amp;(_xlfn.TEXTJOIN("_",TRUE,IF(G185 &lt;&gt; "PAS",G185:H185,""))&amp;(IF(Table1[[#This Row],[Sub-Area]]&lt;&gt;"",_xlfn.CONCAT("_",Table1[[#This Row],[Sub-Area]]),"")))</f>
        <v>LAR_WIL_PLC_AB_SLC500_ANLZ_73PLC_9511</v>
      </c>
      <c r="L185" s="32" t="str">
        <f>IF(I185 &lt;&gt; "",I185&amp;":\PAS\CBR\ProcessedFiles\"&amp;Table1[[#This Row],[Units]]&amp;"\"&amp;Table1[[#This Row],[Asset Type]]&amp;"\"&amp;K185,"")</f>
        <v>D:\PAS\CBR\ProcessedFiles\WIL\PLC\LAR_WIL_PLC_AB_SLC500_ANLZ_73PLC_9511</v>
      </c>
      <c r="M185" s="1" t="str">
        <f>"MKDIR "&amp;Table1[[#This Row],[Suggested Folder Naming]]</f>
        <v>MKDIR D:\PAS\CBR\ProcessedFiles\WIL\PLC\LAR_WIL_PLC_AB_SLC500_ANLZ_73PLC_9511</v>
      </c>
    </row>
    <row r="186" spans="1:13" s="1" customFormat="1" x14ac:dyDescent="0.25">
      <c r="A186" s="21"/>
      <c r="B186" s="7" t="s">
        <v>584</v>
      </c>
      <c r="C186" s="8" t="s">
        <v>475</v>
      </c>
      <c r="D186" s="19" t="s">
        <v>524</v>
      </c>
      <c r="E186" s="30" t="s">
        <v>31</v>
      </c>
      <c r="F186" s="31" t="s">
        <v>93</v>
      </c>
      <c r="G186" s="31" t="str">
        <f>_xlfn.IFNA(VLOOKUP(F186,'[1]Look Table'!B$1:E$75,3,FALSE),"")</f>
        <v>AB</v>
      </c>
      <c r="H186" s="31" t="str">
        <f>_xlfn.IFNA(VLOOKUP(F186,'[1]Look Table'!B$1:E$75,4,FALSE),"")</f>
        <v>SLC500</v>
      </c>
      <c r="I186" s="41" t="s">
        <v>463</v>
      </c>
      <c r="J186" s="31" t="str">
        <f t="shared" si="2"/>
        <v>LAR_WIL</v>
      </c>
      <c r="K186" s="3" t="str">
        <f>J186&amp;"_"&amp;E186&amp;IF(ISNUMBER(SEARCH("PAS",G186)),"","_")&amp;(_xlfn.TEXTJOIN("_",TRUE,IF(G186 &lt;&gt; "PAS",G186:H186,""))&amp;(IF(Table1[[#This Row],[Sub-Area]]&lt;&gt;"",_xlfn.CONCAT("_",Table1[[#This Row],[Sub-Area]]),"")))</f>
        <v>LAR_WIL_PLC_AB_SLC500_ANLZ_73PLC_9513</v>
      </c>
      <c r="L186" s="32" t="str">
        <f>IF(I186 &lt;&gt; "",I186&amp;":\PAS\CBR\ProcessedFiles\"&amp;Table1[[#This Row],[Units]]&amp;"\"&amp;Table1[[#This Row],[Asset Type]]&amp;"\"&amp;K186,"")</f>
        <v>D:\PAS\CBR\ProcessedFiles\WIL\PLC\LAR_WIL_PLC_AB_SLC500_ANLZ_73PLC_9513</v>
      </c>
      <c r="M186" s="1" t="str">
        <f>"MKDIR "&amp;Table1[[#This Row],[Suggested Folder Naming]]</f>
        <v>MKDIR D:\PAS\CBR\ProcessedFiles\WIL\PLC\LAR_WIL_PLC_AB_SLC500_ANLZ_73PLC_9513</v>
      </c>
    </row>
    <row r="187" spans="1:13" s="1" customFormat="1" x14ac:dyDescent="0.25">
      <c r="A187" s="21"/>
      <c r="B187" s="7" t="s">
        <v>584</v>
      </c>
      <c r="C187" s="8" t="s">
        <v>475</v>
      </c>
      <c r="D187" s="19" t="s">
        <v>534</v>
      </c>
      <c r="E187" s="30" t="s">
        <v>31</v>
      </c>
      <c r="F187" s="31" t="s">
        <v>93</v>
      </c>
      <c r="G187" s="31" t="str">
        <f>_xlfn.IFNA(VLOOKUP(F187,'[1]Look Table'!B$1:E$75,3,FALSE),"")</f>
        <v>AB</v>
      </c>
      <c r="H187" s="31" t="str">
        <f>_xlfn.IFNA(VLOOKUP(F187,'[1]Look Table'!B$1:E$75,4,FALSE),"")</f>
        <v>SLC500</v>
      </c>
      <c r="I187" s="41" t="s">
        <v>463</v>
      </c>
      <c r="J187" s="31" t="str">
        <f t="shared" si="2"/>
        <v>LAR_WIL</v>
      </c>
      <c r="K187" s="3" t="str">
        <f>J187&amp;"_"&amp;E187&amp;IF(ISNUMBER(SEARCH("PAS",G187)),"","_")&amp;(_xlfn.TEXTJOIN("_",TRUE,IF(G187 &lt;&gt; "PAS",G187:H187,""))&amp;(IF(Table1[[#This Row],[Sub-Area]]&lt;&gt;"",_xlfn.CONCAT("_",Table1[[#This Row],[Sub-Area]]),"")))</f>
        <v>LAR_WIL_PLC_AB_SLC500_ANLZ_B_7_8_AND_B_9_10_CEMS</v>
      </c>
      <c r="L187" s="32" t="str">
        <f>IF(I187 &lt;&gt; "",I187&amp;":\PAS\CBR\ProcessedFiles\"&amp;Table1[[#This Row],[Units]]&amp;"\"&amp;Table1[[#This Row],[Asset Type]]&amp;"\"&amp;K187,"")</f>
        <v>D:\PAS\CBR\ProcessedFiles\WIL\PLC\LAR_WIL_PLC_AB_SLC500_ANLZ_B_7_8_AND_B_9_10_CEMS</v>
      </c>
      <c r="M187" s="1" t="str">
        <f>"MKDIR "&amp;Table1[[#This Row],[Suggested Folder Naming]]</f>
        <v>MKDIR D:\PAS\CBR\ProcessedFiles\WIL\PLC\LAR_WIL_PLC_AB_SLC500_ANLZ_B_7_8_AND_B_9_10_CEMS</v>
      </c>
    </row>
    <row r="188" spans="1:13" s="1" customFormat="1" x14ac:dyDescent="0.25">
      <c r="A188" s="21"/>
      <c r="B188" s="7" t="s">
        <v>584</v>
      </c>
      <c r="C188" s="8" t="s">
        <v>475</v>
      </c>
      <c r="D188" s="19" t="s">
        <v>537</v>
      </c>
      <c r="E188" s="30" t="s">
        <v>31</v>
      </c>
      <c r="F188" s="31" t="s">
        <v>93</v>
      </c>
      <c r="G188" s="31" t="str">
        <f>_xlfn.IFNA(VLOOKUP(F188,'[1]Look Table'!B$1:E$75,3,FALSE),"")</f>
        <v>AB</v>
      </c>
      <c r="H188" s="31" t="str">
        <f>_xlfn.IFNA(VLOOKUP(F188,'[1]Look Table'!B$1:E$75,4,FALSE),"")</f>
        <v>SLC500</v>
      </c>
      <c r="I188" s="41" t="s">
        <v>463</v>
      </c>
      <c r="J188" s="31" t="str">
        <f t="shared" si="2"/>
        <v>LAR_WIL</v>
      </c>
      <c r="K188" s="3" t="str">
        <f>J188&amp;"_"&amp;E188&amp;IF(ISNUMBER(SEARCH("PAS",G188)),"","_")&amp;(_xlfn.TEXTJOIN("_",TRUE,IF(G188 &lt;&gt; "PAS",G188:H188,""))&amp;(IF(Table1[[#This Row],[Sub-Area]]&lt;&gt;"",_xlfn.CONCAT("_",Table1[[#This Row],[Sub-Area]]),"")))</f>
        <v>LAR_WIL_PLC_AB_SLC500_ANLZ_BO_1_CEMS</v>
      </c>
      <c r="L188" s="32" t="str">
        <f>IF(I188 &lt;&gt; "",I188&amp;":\PAS\CBR\ProcessedFiles\"&amp;Table1[[#This Row],[Units]]&amp;"\"&amp;Table1[[#This Row],[Asset Type]]&amp;"\"&amp;K188,"")</f>
        <v>D:\PAS\CBR\ProcessedFiles\WIL\PLC\LAR_WIL_PLC_AB_SLC500_ANLZ_BO_1_CEMS</v>
      </c>
      <c r="M188" s="1" t="str">
        <f>"MKDIR "&amp;Table1[[#This Row],[Suggested Folder Naming]]</f>
        <v>MKDIR D:\PAS\CBR\ProcessedFiles\WIL\PLC\LAR_WIL_PLC_AB_SLC500_ANLZ_BO_1_CEMS</v>
      </c>
    </row>
    <row r="189" spans="1:13" s="1" customFormat="1" x14ac:dyDescent="0.25">
      <c r="A189" s="21"/>
      <c r="B189" s="7" t="s">
        <v>584</v>
      </c>
      <c r="C189" s="8" t="s">
        <v>475</v>
      </c>
      <c r="D189" s="19" t="s">
        <v>538</v>
      </c>
      <c r="E189" s="30" t="s">
        <v>31</v>
      </c>
      <c r="F189" s="31" t="s">
        <v>93</v>
      </c>
      <c r="G189" s="31" t="str">
        <f>_xlfn.IFNA(VLOOKUP(F189,'[1]Look Table'!B$1:E$75,3,FALSE),"")</f>
        <v>AB</v>
      </c>
      <c r="H189" s="31" t="str">
        <f>_xlfn.IFNA(VLOOKUP(F189,'[1]Look Table'!B$1:E$75,4,FALSE),"")</f>
        <v>SLC500</v>
      </c>
      <c r="I189" s="41" t="s">
        <v>463</v>
      </c>
      <c r="J189" s="31" t="str">
        <f t="shared" si="2"/>
        <v>LAR_WIL</v>
      </c>
      <c r="K189" s="3" t="str">
        <f>J189&amp;"_"&amp;E189&amp;IF(ISNUMBER(SEARCH("PAS",G189)),"","_")&amp;(_xlfn.TEXTJOIN("_",TRUE,IF(G189 &lt;&gt; "PAS",G189:H189,""))&amp;(IF(Table1[[#This Row],[Sub-Area]]&lt;&gt;"",_xlfn.CONCAT("_",Table1[[#This Row],[Sub-Area]]),"")))</f>
        <v>LAR_WIL_PLC_AB_SLC500_ANLZ_COG_A_CEMS</v>
      </c>
      <c r="L189" s="32" t="str">
        <f>IF(I189 &lt;&gt; "",I189&amp;":\PAS\CBR\ProcessedFiles\"&amp;Table1[[#This Row],[Units]]&amp;"\"&amp;Table1[[#This Row],[Asset Type]]&amp;"\"&amp;K189,"")</f>
        <v>D:\PAS\CBR\ProcessedFiles\WIL\PLC\LAR_WIL_PLC_AB_SLC500_ANLZ_COG_A_CEMS</v>
      </c>
      <c r="M189" s="1" t="str">
        <f>"MKDIR "&amp;Table1[[#This Row],[Suggested Folder Naming]]</f>
        <v>MKDIR D:\PAS\CBR\ProcessedFiles\WIL\PLC\LAR_WIL_PLC_AB_SLC500_ANLZ_COG_A_CEMS</v>
      </c>
    </row>
    <row r="190" spans="1:13" s="1" customFormat="1" x14ac:dyDescent="0.25">
      <c r="A190" s="21"/>
      <c r="B190" s="7" t="s">
        <v>584</v>
      </c>
      <c r="C190" s="8" t="s">
        <v>475</v>
      </c>
      <c r="D190" s="19" t="s">
        <v>539</v>
      </c>
      <c r="E190" s="30" t="s">
        <v>31</v>
      </c>
      <c r="F190" s="31" t="s">
        <v>93</v>
      </c>
      <c r="G190" s="31" t="str">
        <f>_xlfn.IFNA(VLOOKUP(F190,'[1]Look Table'!B$1:E$75,3,FALSE),"")</f>
        <v>AB</v>
      </c>
      <c r="H190" s="31" t="str">
        <f>_xlfn.IFNA(VLOOKUP(F190,'[1]Look Table'!B$1:E$75,4,FALSE),"")</f>
        <v>SLC500</v>
      </c>
      <c r="I190" s="41" t="s">
        <v>463</v>
      </c>
      <c r="J190" s="31" t="str">
        <f t="shared" si="2"/>
        <v>LAR_WIL</v>
      </c>
      <c r="K190" s="3" t="str">
        <f>J190&amp;"_"&amp;E190&amp;IF(ISNUMBER(SEARCH("PAS",G190)),"","_")&amp;(_xlfn.TEXTJOIN("_",TRUE,IF(G190 &lt;&gt; "PAS",G190:H190,""))&amp;(IF(Table1[[#This Row],[Sub-Area]]&lt;&gt;"",_xlfn.CONCAT("_",Table1[[#This Row],[Sub-Area]]),"")))</f>
        <v>LAR_WIL_PLC_AB_SLC500_ANLZ_COG_B_CEMS</v>
      </c>
      <c r="L190" s="32" t="str">
        <f>IF(I190 &lt;&gt; "",I190&amp;":\PAS\CBR\ProcessedFiles\"&amp;Table1[[#This Row],[Units]]&amp;"\"&amp;Table1[[#This Row],[Asset Type]]&amp;"\"&amp;K190,"")</f>
        <v>D:\PAS\CBR\ProcessedFiles\WIL\PLC\LAR_WIL_PLC_AB_SLC500_ANLZ_COG_B_CEMS</v>
      </c>
      <c r="M190" s="1" t="str">
        <f>"MKDIR "&amp;Table1[[#This Row],[Suggested Folder Naming]]</f>
        <v>MKDIR D:\PAS\CBR\ProcessedFiles\WIL\PLC\LAR_WIL_PLC_AB_SLC500_ANLZ_COG_B_CEMS</v>
      </c>
    </row>
    <row r="191" spans="1:13" s="1" customFormat="1" x14ac:dyDescent="0.25">
      <c r="A191" s="21"/>
      <c r="B191" s="7" t="s">
        <v>584</v>
      </c>
      <c r="C191" s="8" t="s">
        <v>475</v>
      </c>
      <c r="D191" s="19" t="s">
        <v>550</v>
      </c>
      <c r="E191" s="30" t="s">
        <v>31</v>
      </c>
      <c r="F191" s="31" t="s">
        <v>93</v>
      </c>
      <c r="G191" s="31" t="str">
        <f>_xlfn.IFNA(VLOOKUP(F191,'[1]Look Table'!B$1:E$75,3,FALSE),"")</f>
        <v>AB</v>
      </c>
      <c r="H191" s="31" t="str">
        <f>_xlfn.IFNA(VLOOKUP(F191,'[1]Look Table'!B$1:E$75,4,FALSE),"")</f>
        <v>SLC500</v>
      </c>
      <c r="I191" s="41" t="s">
        <v>463</v>
      </c>
      <c r="J191" s="31" t="str">
        <f t="shared" si="2"/>
        <v>LAR_WIL</v>
      </c>
      <c r="K191" s="3" t="str">
        <f>J191&amp;"_"&amp;E191&amp;IF(ISNUMBER(SEARCH("PAS",G191)),"","_")&amp;(_xlfn.TEXTJOIN("_",TRUE,IF(G191 &lt;&gt; "PAS",G191:H191,""))&amp;(IF(Table1[[#This Row],[Sub-Area]]&lt;&gt;"",_xlfn.CONCAT("_",Table1[[#This Row],[Sub-Area]]),"")))</f>
        <v>LAR_WIL_PLC_AB_SLC500_ANLZ_F_704_CEMS</v>
      </c>
      <c r="L191" s="32" t="str">
        <f>IF(I191 &lt;&gt; "",I191&amp;":\PAS\CBR\ProcessedFiles\"&amp;Table1[[#This Row],[Units]]&amp;"\"&amp;Table1[[#This Row],[Asset Type]]&amp;"\"&amp;K191,"")</f>
        <v>D:\PAS\CBR\ProcessedFiles\WIL\PLC\LAR_WIL_PLC_AB_SLC500_ANLZ_F_704_CEMS</v>
      </c>
      <c r="M191" s="1" t="str">
        <f>"MKDIR "&amp;Table1[[#This Row],[Suggested Folder Naming]]</f>
        <v>MKDIR D:\PAS\CBR\ProcessedFiles\WIL\PLC\LAR_WIL_PLC_AB_SLC500_ANLZ_F_704_CEMS</v>
      </c>
    </row>
    <row r="192" spans="1:13" s="1" customFormat="1" x14ac:dyDescent="0.25">
      <c r="A192" s="21"/>
      <c r="B192" s="7" t="s">
        <v>584</v>
      </c>
      <c r="C192" s="8" t="s">
        <v>475</v>
      </c>
      <c r="D192" s="19" t="s">
        <v>555</v>
      </c>
      <c r="E192" s="30" t="s">
        <v>31</v>
      </c>
      <c r="F192" s="31" t="s">
        <v>93</v>
      </c>
      <c r="G192" s="31" t="str">
        <f>_xlfn.IFNA(VLOOKUP(F192,'[1]Look Table'!B$1:E$75,3,FALSE),"")</f>
        <v>AB</v>
      </c>
      <c r="H192" s="31" t="str">
        <f>_xlfn.IFNA(VLOOKUP(F192,'[1]Look Table'!B$1:E$75,4,FALSE),"")</f>
        <v>SLC500</v>
      </c>
      <c r="I192" s="41" t="s">
        <v>463</v>
      </c>
      <c r="J192" s="31" t="str">
        <f t="shared" si="2"/>
        <v>LAR_WIL</v>
      </c>
      <c r="K192" s="3" t="str">
        <f>J192&amp;"_"&amp;E192&amp;IF(ISNUMBER(SEARCH("PAS",G192)),"","_")&amp;(_xlfn.TEXTJOIN("_",TRUE,IF(G192 &lt;&gt; "PAS",G192:H192,""))&amp;(IF(Table1[[#This Row],[Sub-Area]]&lt;&gt;"",_xlfn.CONCAT("_",Table1[[#This Row],[Sub-Area]]),"")))</f>
        <v>LAR_WIL_PLC_AB_SLC500_ANLZ_H_101_CEMS</v>
      </c>
      <c r="L192" s="32" t="str">
        <f>IF(I192 &lt;&gt; "",I192&amp;":\PAS\CBR\ProcessedFiles\"&amp;Table1[[#This Row],[Units]]&amp;"\"&amp;Table1[[#This Row],[Asset Type]]&amp;"\"&amp;K192,"")</f>
        <v>D:\PAS\CBR\ProcessedFiles\WIL\PLC\LAR_WIL_PLC_AB_SLC500_ANLZ_H_101_CEMS</v>
      </c>
      <c r="M192" s="1" t="str">
        <f>"MKDIR "&amp;Table1[[#This Row],[Suggested Folder Naming]]</f>
        <v>MKDIR D:\PAS\CBR\ProcessedFiles\WIL\PLC\LAR_WIL_PLC_AB_SLC500_ANLZ_H_101_CEMS</v>
      </c>
    </row>
    <row r="193" spans="1:13" s="1" customFormat="1" x14ac:dyDescent="0.25">
      <c r="A193" s="21"/>
      <c r="B193" s="7" t="s">
        <v>584</v>
      </c>
      <c r="C193" s="8" t="s">
        <v>475</v>
      </c>
      <c r="D193" s="19" t="s">
        <v>556</v>
      </c>
      <c r="E193" s="30" t="s">
        <v>31</v>
      </c>
      <c r="F193" s="31" t="s">
        <v>93</v>
      </c>
      <c r="G193" s="31" t="str">
        <f>_xlfn.IFNA(VLOOKUP(F193,'[1]Look Table'!B$1:E$75,3,FALSE),"")</f>
        <v>AB</v>
      </c>
      <c r="H193" s="31" t="str">
        <f>_xlfn.IFNA(VLOOKUP(F193,'[1]Look Table'!B$1:E$75,4,FALSE),"")</f>
        <v>SLC500</v>
      </c>
      <c r="I193" s="41" t="s">
        <v>463</v>
      </c>
      <c r="J193" s="31" t="str">
        <f t="shared" si="2"/>
        <v>LAR_WIL</v>
      </c>
      <c r="K193" s="3" t="str">
        <f>J193&amp;"_"&amp;E193&amp;IF(ISNUMBER(SEARCH("PAS",G193)),"","_")&amp;(_xlfn.TEXTJOIN("_",TRUE,IF(G193 &lt;&gt; "PAS",G193:H193,""))&amp;(IF(Table1[[#This Row],[Sub-Area]]&lt;&gt;"",_xlfn.CONCAT("_",Table1[[#This Row],[Sub-Area]]),"")))</f>
        <v>LAR_WIL_PLC_AB_SLC500_ANLZ_H_200_CEMS</v>
      </c>
      <c r="L193" s="32" t="str">
        <f>IF(I193 &lt;&gt; "",I193&amp;":\PAS\CBR\ProcessedFiles\"&amp;Table1[[#This Row],[Units]]&amp;"\"&amp;Table1[[#This Row],[Asset Type]]&amp;"\"&amp;K193,"")</f>
        <v>D:\PAS\CBR\ProcessedFiles\WIL\PLC\LAR_WIL_PLC_AB_SLC500_ANLZ_H_200_CEMS</v>
      </c>
      <c r="M193" s="1" t="str">
        <f>"MKDIR "&amp;Table1[[#This Row],[Suggested Folder Naming]]</f>
        <v>MKDIR D:\PAS\CBR\ProcessedFiles\WIL\PLC\LAR_WIL_PLC_AB_SLC500_ANLZ_H_200_CEMS</v>
      </c>
    </row>
    <row r="194" spans="1:13" s="1" customFormat="1" x14ac:dyDescent="0.25">
      <c r="A194" s="21"/>
      <c r="B194" s="7" t="s">
        <v>584</v>
      </c>
      <c r="C194" s="8" t="s">
        <v>475</v>
      </c>
      <c r="D194" s="19" t="s">
        <v>557</v>
      </c>
      <c r="E194" s="30" t="s">
        <v>31</v>
      </c>
      <c r="F194" s="31" t="s">
        <v>93</v>
      </c>
      <c r="G194" s="31" t="str">
        <f>_xlfn.IFNA(VLOOKUP(F194,'[1]Look Table'!B$1:E$75,3,FALSE),"")</f>
        <v>AB</v>
      </c>
      <c r="H194" s="31" t="str">
        <f>_xlfn.IFNA(VLOOKUP(F194,'[1]Look Table'!B$1:E$75,4,FALSE),"")</f>
        <v>SLC500</v>
      </c>
      <c r="I194" s="41" t="s">
        <v>463</v>
      </c>
      <c r="J194" s="31" t="str">
        <f t="shared" si="2"/>
        <v>LAR_WIL</v>
      </c>
      <c r="K194" s="3" t="str">
        <f>J194&amp;"_"&amp;E194&amp;IF(ISNUMBER(SEARCH("PAS",G194)),"","_")&amp;(_xlfn.TEXTJOIN("_",TRUE,IF(G194 &lt;&gt; "PAS",G194:H194,""))&amp;(IF(Table1[[#This Row],[Sub-Area]]&lt;&gt;"",_xlfn.CONCAT("_",Table1[[#This Row],[Sub-Area]]),"")))</f>
        <v>LAR_WIL_PLC_AB_SLC500_ANLZ_H_203_CEMS</v>
      </c>
      <c r="L194" s="32" t="str">
        <f>IF(I194 &lt;&gt; "",I194&amp;":\PAS\CBR\ProcessedFiles\"&amp;Table1[[#This Row],[Units]]&amp;"\"&amp;Table1[[#This Row],[Asset Type]]&amp;"\"&amp;K194,"")</f>
        <v>D:\PAS\CBR\ProcessedFiles\WIL\PLC\LAR_WIL_PLC_AB_SLC500_ANLZ_H_203_CEMS</v>
      </c>
      <c r="M194" s="1" t="str">
        <f>"MKDIR "&amp;Table1[[#This Row],[Suggested Folder Naming]]</f>
        <v>MKDIR D:\PAS\CBR\ProcessedFiles\WIL\PLC\LAR_WIL_PLC_AB_SLC500_ANLZ_H_203_CEMS</v>
      </c>
    </row>
    <row r="195" spans="1:13" s="1" customFormat="1" x14ac:dyDescent="0.25">
      <c r="A195" s="21"/>
      <c r="B195" s="7" t="s">
        <v>584</v>
      </c>
      <c r="C195" s="8" t="s">
        <v>475</v>
      </c>
      <c r="D195" s="19" t="s">
        <v>558</v>
      </c>
      <c r="E195" s="30" t="s">
        <v>31</v>
      </c>
      <c r="F195" s="31" t="s">
        <v>93</v>
      </c>
      <c r="G195" s="31" t="str">
        <f>_xlfn.IFNA(VLOOKUP(F195,'[1]Look Table'!B$1:E$75,3,FALSE),"")</f>
        <v>AB</v>
      </c>
      <c r="H195" s="31" t="str">
        <f>_xlfn.IFNA(VLOOKUP(F195,'[1]Look Table'!B$1:E$75,4,FALSE),"")</f>
        <v>SLC500</v>
      </c>
      <c r="I195" s="41" t="s">
        <v>463</v>
      </c>
      <c r="J195" s="31" t="str">
        <f t="shared" ref="J195:J258" si="3">_xlfn.TEXTJOIN("_",TRUE,B195:C195)</f>
        <v>LAR_WIL</v>
      </c>
      <c r="K195" s="3" t="str">
        <f>J195&amp;"_"&amp;E195&amp;IF(ISNUMBER(SEARCH("PAS",G195)),"","_")&amp;(_xlfn.TEXTJOIN("_",TRUE,IF(G195 &lt;&gt; "PAS",G195:H195,""))&amp;(IF(Table1[[#This Row],[Sub-Area]]&lt;&gt;"",_xlfn.CONCAT("_",Table1[[#This Row],[Sub-Area]]),"")))</f>
        <v>LAR_WIL_PLC_AB_SLC500_ANLZ_H_21_22_AND_H_30_CEMS</v>
      </c>
      <c r="L195" s="32" t="str">
        <f>IF(I195 &lt;&gt; "",I195&amp;":\PAS\CBR\ProcessedFiles\"&amp;Table1[[#This Row],[Units]]&amp;"\"&amp;Table1[[#This Row],[Asset Type]]&amp;"\"&amp;K195,"")</f>
        <v>D:\PAS\CBR\ProcessedFiles\WIL\PLC\LAR_WIL_PLC_AB_SLC500_ANLZ_H_21_22_AND_H_30_CEMS</v>
      </c>
      <c r="M195" s="1" t="str">
        <f>"MKDIR "&amp;Table1[[#This Row],[Suggested Folder Naming]]</f>
        <v>MKDIR D:\PAS\CBR\ProcessedFiles\WIL\PLC\LAR_WIL_PLC_AB_SLC500_ANLZ_H_21_22_AND_H_30_CEMS</v>
      </c>
    </row>
    <row r="196" spans="1:13" s="1" customFormat="1" x14ac:dyDescent="0.25">
      <c r="A196" s="21"/>
      <c r="B196" s="7" t="s">
        <v>584</v>
      </c>
      <c r="C196" s="8" t="s">
        <v>475</v>
      </c>
      <c r="D196" s="19" t="s">
        <v>560</v>
      </c>
      <c r="E196" s="30" t="s">
        <v>31</v>
      </c>
      <c r="F196" s="31" t="s">
        <v>93</v>
      </c>
      <c r="G196" s="31" t="str">
        <f>_xlfn.IFNA(VLOOKUP(F196,'[1]Look Table'!B$1:E$75,3,FALSE),"")</f>
        <v>AB</v>
      </c>
      <c r="H196" s="31" t="str">
        <f>_xlfn.IFNA(VLOOKUP(F196,'[1]Look Table'!B$1:E$75,4,FALSE),"")</f>
        <v>SLC500</v>
      </c>
      <c r="I196" s="41" t="s">
        <v>463</v>
      </c>
      <c r="J196" s="31" t="str">
        <f t="shared" si="3"/>
        <v>LAR_WIL</v>
      </c>
      <c r="K196" s="3" t="str">
        <f>J196&amp;"_"&amp;E196&amp;IF(ISNUMBER(SEARCH("PAS",G196)),"","_")&amp;(_xlfn.TEXTJOIN("_",TRUE,IF(G196 &lt;&gt; "PAS",G196:H196,""))&amp;(IF(Table1[[#This Row],[Sub-Area]]&lt;&gt;"",_xlfn.CONCAT("_",Table1[[#This Row],[Sub-Area]]),"")))</f>
        <v>LAR_WIL_PLC_AB_SLC500_ANLZ_H_300_CEMS</v>
      </c>
      <c r="L196" s="32" t="str">
        <f>IF(I196 &lt;&gt; "",I196&amp;":\PAS\CBR\ProcessedFiles\"&amp;Table1[[#This Row],[Units]]&amp;"\"&amp;Table1[[#This Row],[Asset Type]]&amp;"\"&amp;K196,"")</f>
        <v>D:\PAS\CBR\ProcessedFiles\WIL\PLC\LAR_WIL_PLC_AB_SLC500_ANLZ_H_300_CEMS</v>
      </c>
      <c r="M196" s="1" t="str">
        <f>"MKDIR "&amp;Table1[[#This Row],[Suggested Folder Naming]]</f>
        <v>MKDIR D:\PAS\CBR\ProcessedFiles\WIL\PLC\LAR_WIL_PLC_AB_SLC500_ANLZ_H_300_CEMS</v>
      </c>
    </row>
    <row r="197" spans="1:13" s="1" customFormat="1" x14ac:dyDescent="0.25">
      <c r="A197" s="21"/>
      <c r="B197" s="7" t="s">
        <v>584</v>
      </c>
      <c r="C197" s="8" t="s">
        <v>475</v>
      </c>
      <c r="D197" s="19" t="s">
        <v>562</v>
      </c>
      <c r="E197" s="30" t="s">
        <v>31</v>
      </c>
      <c r="F197" s="31" t="s">
        <v>93</v>
      </c>
      <c r="G197" s="31" t="str">
        <f>_xlfn.IFNA(VLOOKUP(F197,'[1]Look Table'!B$1:E$75,3,FALSE),"")</f>
        <v>AB</v>
      </c>
      <c r="H197" s="31" t="str">
        <f>_xlfn.IFNA(VLOOKUP(F197,'[1]Look Table'!B$1:E$75,4,FALSE),"")</f>
        <v>SLC500</v>
      </c>
      <c r="I197" s="41" t="s">
        <v>463</v>
      </c>
      <c r="J197" s="31" t="str">
        <f t="shared" si="3"/>
        <v>LAR_WIL</v>
      </c>
      <c r="K197" s="3" t="str">
        <f>J197&amp;"_"&amp;E197&amp;IF(ISNUMBER(SEARCH("PAS",G197)),"","_")&amp;(_xlfn.TEXTJOIN("_",TRUE,IF(G197 &lt;&gt; "PAS",G197:H197,""))&amp;(IF(Table1[[#This Row],[Sub-Area]]&lt;&gt;"",_xlfn.CONCAT("_",Table1[[#This Row],[Sub-Area]]),"")))</f>
        <v>LAR_WIL_PLC_AB_SLC500_ANLZ_H_304_CEMS</v>
      </c>
      <c r="L197" s="32" t="str">
        <f>IF(I197 &lt;&gt; "",I197&amp;":\PAS\CBR\ProcessedFiles\"&amp;Table1[[#This Row],[Units]]&amp;"\"&amp;Table1[[#This Row],[Asset Type]]&amp;"\"&amp;K197,"")</f>
        <v>D:\PAS\CBR\ProcessedFiles\WIL\PLC\LAR_WIL_PLC_AB_SLC500_ANLZ_H_304_CEMS</v>
      </c>
      <c r="M197" s="1" t="str">
        <f>"MKDIR "&amp;Table1[[#This Row],[Suggested Folder Naming]]</f>
        <v>MKDIR D:\PAS\CBR\ProcessedFiles\WIL\PLC\LAR_WIL_PLC_AB_SLC500_ANLZ_H_304_CEMS</v>
      </c>
    </row>
    <row r="198" spans="1:13" s="1" customFormat="1" x14ac:dyDescent="0.25">
      <c r="A198" s="21"/>
      <c r="B198" s="7" t="s">
        <v>584</v>
      </c>
      <c r="C198" s="8" t="s">
        <v>475</v>
      </c>
      <c r="D198" s="19" t="s">
        <v>571</v>
      </c>
      <c r="E198" s="30" t="s">
        <v>31</v>
      </c>
      <c r="F198" s="31" t="s">
        <v>93</v>
      </c>
      <c r="G198" s="31" t="str">
        <f>_xlfn.IFNA(VLOOKUP(F198,'[1]Look Table'!B$1:E$75,3,FALSE),"")</f>
        <v>AB</v>
      </c>
      <c r="H198" s="31" t="str">
        <f>_xlfn.IFNA(VLOOKUP(F198,'[1]Look Table'!B$1:E$75,4,FALSE),"")</f>
        <v>SLC500</v>
      </c>
      <c r="I198" s="41" t="s">
        <v>463</v>
      </c>
      <c r="J198" s="31" t="str">
        <f t="shared" si="3"/>
        <v>LAR_WIL</v>
      </c>
      <c r="K198" s="3" t="str">
        <f>J198&amp;"_"&amp;E198&amp;IF(ISNUMBER(SEARCH("PAS",G198)),"","_")&amp;(_xlfn.TEXTJOIN("_",TRUE,IF(G198 &lt;&gt; "PAS",G198:H198,""))&amp;(IF(Table1[[#This Row],[Sub-Area]]&lt;&gt;"",_xlfn.CONCAT("_",Table1[[#This Row],[Sub-Area]]),"")))</f>
        <v>LAR_WIL_PLC_AB_SLC500_ANLZ_H_510_CEMS</v>
      </c>
      <c r="L198" s="32" t="str">
        <f>IF(I198 &lt;&gt; "",I198&amp;":\PAS\CBR\ProcessedFiles\"&amp;Table1[[#This Row],[Units]]&amp;"\"&amp;Table1[[#This Row],[Asset Type]]&amp;"\"&amp;K198,"")</f>
        <v>D:\PAS\CBR\ProcessedFiles\WIL\PLC\LAR_WIL_PLC_AB_SLC500_ANLZ_H_510_CEMS</v>
      </c>
      <c r="M198" s="1" t="str">
        <f>"MKDIR "&amp;Table1[[#This Row],[Suggested Folder Naming]]</f>
        <v>MKDIR D:\PAS\CBR\ProcessedFiles\WIL\PLC\LAR_WIL_PLC_AB_SLC500_ANLZ_H_510_CEMS</v>
      </c>
    </row>
    <row r="199" spans="1:13" s="1" customFormat="1" x14ac:dyDescent="0.25">
      <c r="A199" s="21"/>
      <c r="B199" s="7" t="s">
        <v>584</v>
      </c>
      <c r="C199" s="8" t="s">
        <v>475</v>
      </c>
      <c r="D199" s="19" t="s">
        <v>577</v>
      </c>
      <c r="E199" s="30" t="s">
        <v>31</v>
      </c>
      <c r="F199" s="31" t="s">
        <v>93</v>
      </c>
      <c r="G199" s="31" t="str">
        <f>_xlfn.IFNA(VLOOKUP(F199,'[1]Look Table'!B$1:E$75,3,FALSE),"")</f>
        <v>AB</v>
      </c>
      <c r="H199" s="31" t="str">
        <f>_xlfn.IFNA(VLOOKUP(F199,'[1]Look Table'!B$1:E$75,4,FALSE),"")</f>
        <v>SLC500</v>
      </c>
      <c r="I199" s="41" t="s">
        <v>463</v>
      </c>
      <c r="J199" s="31" t="str">
        <f t="shared" si="3"/>
        <v>LAR_WIL</v>
      </c>
      <c r="K199" s="3" t="str">
        <f>J199&amp;"_"&amp;E199&amp;IF(ISNUMBER(SEARCH("PAS",G199)),"","_")&amp;(_xlfn.TEXTJOIN("_",TRUE,IF(G199 &lt;&gt; "PAS",G199:H199,""))&amp;(IF(Table1[[#This Row],[Sub-Area]]&lt;&gt;"",_xlfn.CONCAT("_",Table1[[#This Row],[Sub-Area]]),"")))</f>
        <v>LAR_WIL_PLC_AB_SLC500_ANLZ_REGEN_CEMS_</v>
      </c>
      <c r="L199" s="32" t="str">
        <f>IF(I199 &lt;&gt; "",I199&amp;":\PAS\CBR\ProcessedFiles\"&amp;Table1[[#This Row],[Units]]&amp;"\"&amp;Table1[[#This Row],[Asset Type]]&amp;"\"&amp;K199,"")</f>
        <v>D:\PAS\CBR\ProcessedFiles\WIL\PLC\LAR_WIL_PLC_AB_SLC500_ANLZ_REGEN_CEMS_</v>
      </c>
      <c r="M199" s="1" t="str">
        <f>"MKDIR "&amp;Table1[[#This Row],[Suggested Folder Naming]]</f>
        <v>MKDIR D:\PAS\CBR\ProcessedFiles\WIL\PLC\LAR_WIL_PLC_AB_SLC500_ANLZ_REGEN_CEMS_</v>
      </c>
    </row>
    <row r="200" spans="1:13" s="1" customFormat="1" x14ac:dyDescent="0.25">
      <c r="A200" s="21"/>
      <c r="B200" s="7" t="s">
        <v>584</v>
      </c>
      <c r="C200" s="8" t="s">
        <v>475</v>
      </c>
      <c r="D200" s="19" t="s">
        <v>117</v>
      </c>
      <c r="E200" s="30" t="s">
        <v>31</v>
      </c>
      <c r="F200" s="31" t="s">
        <v>93</v>
      </c>
      <c r="G200" s="31" t="str">
        <f>_xlfn.IFNA(VLOOKUP(F200,'Look Table'!B$1:E$64,3,FALSE),"")</f>
        <v>AB</v>
      </c>
      <c r="H200" s="31" t="str">
        <f>_xlfn.IFNA(VLOOKUP(F200,'Look Table'!B$1:E$64,4,FALSE),"")</f>
        <v>SLC500</v>
      </c>
      <c r="I200" s="41" t="s">
        <v>463</v>
      </c>
      <c r="J200" s="31" t="str">
        <f t="shared" si="3"/>
        <v>LAR_WIL</v>
      </c>
      <c r="K200" s="3" t="str">
        <f>J200&amp;"_"&amp;E200&amp;IF(ISNUMBER(SEARCH("PAS",G200)),"","_")&amp;(_xlfn.TEXTJOIN("_",TRUE,IF(G200 &lt;&gt; "PAS",G200:H200,""))&amp;(IF(Table1[[#This Row],[Sub-Area]]&lt;&gt;"",_xlfn.CONCAT("_",Table1[[#This Row],[Sub-Area]]),"")))</f>
        <v>LAR_WIL_PLC_AB_SLC500_C_164_Chiller</v>
      </c>
      <c r="L200" s="32" t="str">
        <f>IF(I200 &lt;&gt; "",I200&amp;":\PAS\CBR\ProcessedFiles\"&amp;Table1[[#This Row],[Units]]&amp;"\"&amp;Table1[[#This Row],[Asset Type]]&amp;"\"&amp;K200,"")</f>
        <v>D:\PAS\CBR\ProcessedFiles\WIL\PLC\LAR_WIL_PLC_AB_SLC500_C_164_Chiller</v>
      </c>
      <c r="M200" s="33" t="str">
        <f>"MKDIR "&amp;Table1[[#This Row],[Suggested Folder Naming]]</f>
        <v>MKDIR D:\PAS\CBR\ProcessedFiles\WIL\PLC\LAR_WIL_PLC_AB_SLC500_C_164_Chiller</v>
      </c>
    </row>
    <row r="201" spans="1:13" s="1" customFormat="1" x14ac:dyDescent="0.25">
      <c r="A201" s="21"/>
      <c r="B201" s="7" t="s">
        <v>584</v>
      </c>
      <c r="C201" s="8" t="s">
        <v>475</v>
      </c>
      <c r="D201" s="19" t="s">
        <v>118</v>
      </c>
      <c r="E201" s="30" t="s">
        <v>31</v>
      </c>
      <c r="F201" s="31" t="s">
        <v>93</v>
      </c>
      <c r="G201" s="31" t="s">
        <v>36</v>
      </c>
      <c r="H201" s="31" t="s">
        <v>401</v>
      </c>
      <c r="I201" s="41" t="s">
        <v>463</v>
      </c>
      <c r="J201" s="31" t="str">
        <f t="shared" si="3"/>
        <v>LAR_WIL</v>
      </c>
      <c r="K201" s="3" t="str">
        <f>J201&amp;"_"&amp;E201&amp;IF(ISNUMBER(SEARCH("PAS",G201)),"","_")&amp;(_xlfn.TEXTJOIN("_",TRUE,IF(G201 &lt;&gt; "PAS",G201:H201,""))&amp;(IF(Table1[[#This Row],[Sub-Area]]&lt;&gt;"",_xlfn.CONCAT("_",Table1[[#This Row],[Sub-Area]]),"")))</f>
        <v>LAR_WIL_PLC_AB_SLC500_Flare_Gas_Sample</v>
      </c>
      <c r="L201" s="32" t="str">
        <f>IF(I201 &lt;&gt; "",I201&amp;":\PAS\CBR\ProcessedFiles\"&amp;Table1[[#This Row],[Units]]&amp;"\"&amp;Table1[[#This Row],[Asset Type]]&amp;"\"&amp;K201,"")</f>
        <v>D:\PAS\CBR\ProcessedFiles\WIL\PLC\LAR_WIL_PLC_AB_SLC500_Flare_Gas_Sample</v>
      </c>
      <c r="M201" s="33" t="str">
        <f>"MKDIR "&amp;Table1[[#This Row],[Suggested Folder Naming]]</f>
        <v>MKDIR D:\PAS\CBR\ProcessedFiles\WIL\PLC\LAR_WIL_PLC_AB_SLC500_Flare_Gas_Sample</v>
      </c>
    </row>
    <row r="202" spans="1:13" s="1" customFormat="1" x14ac:dyDescent="0.25">
      <c r="A202" s="21"/>
      <c r="B202" s="7" t="s">
        <v>584</v>
      </c>
      <c r="C202" s="8" t="s">
        <v>475</v>
      </c>
      <c r="D202" s="19" t="s">
        <v>119</v>
      </c>
      <c r="E202" s="30" t="s">
        <v>31</v>
      </c>
      <c r="F202" s="31" t="s">
        <v>93</v>
      </c>
      <c r="G202" s="31" t="str">
        <f>_xlfn.IFNA(VLOOKUP(F202,'Look Table'!B$1:E$64,3,FALSE),"")</f>
        <v>AB</v>
      </c>
      <c r="H202" s="31" t="str">
        <f>_xlfn.IFNA(VLOOKUP(F202,'Look Table'!B$1:E$64,4,FALSE),"")</f>
        <v>SLC500</v>
      </c>
      <c r="I202" s="41" t="s">
        <v>463</v>
      </c>
      <c r="J202" s="31" t="str">
        <f t="shared" si="3"/>
        <v>LAR_WIL</v>
      </c>
      <c r="K202" s="3" t="str">
        <f>J202&amp;"_"&amp;E202&amp;IF(ISNUMBER(SEARCH("PAS",G202)),"","_")&amp;(_xlfn.TEXTJOIN("_",TRUE,IF(G202 &lt;&gt; "PAS",G202:H202,""))&amp;(IF(Table1[[#This Row],[Sub-Area]]&lt;&gt;"",_xlfn.CONCAT("_",Table1[[#This Row],[Sub-Area]]),"")))</f>
        <v>LAR_WIL_PLC_AB_SLC500_NH3_CTRL_PAC_Mee_Inj_Sys</v>
      </c>
      <c r="L202" s="32" t="str">
        <f>IF(I202 &lt;&gt; "",I202&amp;":\PAS\CBR\ProcessedFiles\"&amp;Table1[[#This Row],[Units]]&amp;"\"&amp;Table1[[#This Row],[Asset Type]]&amp;"\"&amp;K202,"")</f>
        <v>D:\PAS\CBR\ProcessedFiles\WIL\PLC\LAR_WIL_PLC_AB_SLC500_NH3_CTRL_PAC_Mee_Inj_Sys</v>
      </c>
      <c r="M202" s="33" t="str">
        <f>"MKDIR "&amp;Table1[[#This Row],[Suggested Folder Naming]]</f>
        <v>MKDIR D:\PAS\CBR\ProcessedFiles\WIL\PLC\LAR_WIL_PLC_AB_SLC500_NH3_CTRL_PAC_Mee_Inj_Sys</v>
      </c>
    </row>
    <row r="203" spans="1:13" s="1" customFormat="1" x14ac:dyDescent="0.25">
      <c r="A203" s="21"/>
      <c r="B203" s="7" t="s">
        <v>584</v>
      </c>
      <c r="C203" s="8" t="s">
        <v>475</v>
      </c>
      <c r="D203" s="19" t="s">
        <v>56</v>
      </c>
      <c r="E203" s="30" t="s">
        <v>31</v>
      </c>
      <c r="F203" s="31" t="s">
        <v>93</v>
      </c>
      <c r="G203" s="31" t="s">
        <v>36</v>
      </c>
      <c r="H203" s="31" t="s">
        <v>401</v>
      </c>
      <c r="I203" s="41" t="s">
        <v>463</v>
      </c>
      <c r="J203" s="31" t="str">
        <f t="shared" si="3"/>
        <v>LAR_WIL</v>
      </c>
      <c r="K203" s="3" t="str">
        <f>J203&amp;"_"&amp;E203&amp;IF(ISNUMBER(SEARCH("PAS",G203)),"","_")&amp;(_xlfn.TEXTJOIN("_",TRUE,IF(G203 &lt;&gt; "PAS",G203:H203,""))&amp;(IF(Table1[[#This Row],[Sub-Area]]&lt;&gt;"",_xlfn.CONCAT("_",Table1[[#This Row],[Sub-Area]]),"")))</f>
        <v>LAR_WIL_PLC_AB_SLC500_Water_Softner</v>
      </c>
      <c r="L203" s="32" t="str">
        <f>IF(I203 &lt;&gt; "",I203&amp;":\PAS\CBR\ProcessedFiles\"&amp;Table1[[#This Row],[Units]]&amp;"\"&amp;Table1[[#This Row],[Asset Type]]&amp;"\"&amp;K203,"")</f>
        <v>D:\PAS\CBR\ProcessedFiles\WIL\PLC\LAR_WIL_PLC_AB_SLC500_Water_Softner</v>
      </c>
      <c r="M203" s="33" t="str">
        <f>"MKDIR "&amp;Table1[[#This Row],[Suggested Folder Naming]]</f>
        <v>MKDIR D:\PAS\CBR\ProcessedFiles\WIL\PLC\LAR_WIL_PLC_AB_SLC500_Water_Softner</v>
      </c>
    </row>
    <row r="204" spans="1:13" s="1" customFormat="1" x14ac:dyDescent="0.25">
      <c r="A204" s="21"/>
      <c r="B204" s="7" t="s">
        <v>584</v>
      </c>
      <c r="C204" s="8" t="s">
        <v>477</v>
      </c>
      <c r="D204" s="19" t="s">
        <v>120</v>
      </c>
      <c r="E204" s="30" t="s">
        <v>121</v>
      </c>
      <c r="F204" s="31" t="s">
        <v>122</v>
      </c>
      <c r="G204" s="31" t="str">
        <f>_xlfn.IFNA(VLOOKUP(F204,'Look Table'!B$1:E$64,3,FALSE),"")</f>
        <v>Aspen</v>
      </c>
      <c r="H204" s="31" t="str">
        <f>_xlfn.IFNA(VLOOKUP(F204,'Look Table'!B$1:E$64,4,FALSE),"")</f>
        <v>DMCplus</v>
      </c>
      <c r="I204" s="41" t="s">
        <v>463</v>
      </c>
      <c r="J204" s="31" t="str">
        <f t="shared" si="3"/>
        <v>LAR_CAR</v>
      </c>
      <c r="K204" s="3" t="str">
        <f>J204&amp;"_"&amp;E204&amp;IF(ISNUMBER(SEARCH("PAS",G204)),"","_")&amp;(_xlfn.TEXTJOIN("_",TRUE,IF(G204 &lt;&gt; "PAS",G204:H204,""))&amp;(IF(Table1[[#This Row],[Sub-Area]]&lt;&gt;"",_xlfn.CONCAT("_",Table1[[#This Row],[Sub-Area]]),"")))</f>
        <v>LAR_CAR_APC_Aspen_DMCplus_North_dib</v>
      </c>
      <c r="L204" s="32" t="str">
        <f>IF(I204 &lt;&gt; "",I204&amp;":\PAS\CBR\ProcessedFiles\"&amp;Table1[[#This Row],[Units]]&amp;"\"&amp;Table1[[#This Row],[Asset Type]]&amp;"\"&amp;K204,"")</f>
        <v>D:\PAS\CBR\ProcessedFiles\CAR\APC\LAR_CAR_APC_Aspen_DMCplus_North_dib</v>
      </c>
      <c r="M204" s="33" t="str">
        <f>"MKDIR "&amp;Table1[[#This Row],[Suggested Folder Naming]]</f>
        <v>MKDIR D:\PAS\CBR\ProcessedFiles\CAR\APC\LAR_CAR_APC_Aspen_DMCplus_North_dib</v>
      </c>
    </row>
    <row r="205" spans="1:13" s="1" customFormat="1" x14ac:dyDescent="0.25">
      <c r="A205" s="21"/>
      <c r="B205" s="7" t="s">
        <v>584</v>
      </c>
      <c r="C205" s="8" t="s">
        <v>477</v>
      </c>
      <c r="D205" s="19" t="s">
        <v>123</v>
      </c>
      <c r="E205" s="30" t="s">
        <v>121</v>
      </c>
      <c r="F205" s="31" t="s">
        <v>122</v>
      </c>
      <c r="G205" s="31" t="str">
        <f>_xlfn.IFNA(VLOOKUP(F205,'Look Table'!B$1:E$64,3,FALSE),"")</f>
        <v>Aspen</v>
      </c>
      <c r="H205" s="31" t="str">
        <f>_xlfn.IFNA(VLOOKUP(F205,'Look Table'!B$1:E$64,4,FALSE),"")</f>
        <v>DMCplus</v>
      </c>
      <c r="I205" s="41" t="s">
        <v>463</v>
      </c>
      <c r="J205" s="31" t="str">
        <f t="shared" si="3"/>
        <v>LAR_CAR</v>
      </c>
      <c r="K205" s="3" t="str">
        <f>J205&amp;"_"&amp;E205&amp;IF(ISNUMBER(SEARCH("PAS",G205)),"","_")&amp;(_xlfn.TEXTJOIN("_",TRUE,IF(G205 &lt;&gt; "PAS",G205:H205,""))&amp;(IF(Table1[[#This Row],[Sub-Area]]&lt;&gt;"",_xlfn.CONCAT("_",Table1[[#This Row],[Sub-Area]]),"")))</f>
        <v>LAR_CAR_APC_Aspen_DMCplus_North_fcc1deprop</v>
      </c>
      <c r="L205" s="32" t="str">
        <f>IF(I205 &lt;&gt; "",I205&amp;":\PAS\CBR\ProcessedFiles\"&amp;Table1[[#This Row],[Units]]&amp;"\"&amp;Table1[[#This Row],[Asset Type]]&amp;"\"&amp;K205,"")</f>
        <v>D:\PAS\CBR\ProcessedFiles\CAR\APC\LAR_CAR_APC_Aspen_DMCplus_North_fcc1deprop</v>
      </c>
      <c r="M205" s="33" t="str">
        <f>"MKDIR "&amp;Table1[[#This Row],[Suggested Folder Naming]]</f>
        <v>MKDIR D:\PAS\CBR\ProcessedFiles\CAR\APC\LAR_CAR_APC_Aspen_DMCplus_North_fcc1deprop</v>
      </c>
    </row>
    <row r="206" spans="1:13" s="1" customFormat="1" x14ac:dyDescent="0.25">
      <c r="A206" s="21"/>
      <c r="B206" s="7" t="s">
        <v>584</v>
      </c>
      <c r="C206" s="8" t="s">
        <v>477</v>
      </c>
      <c r="D206" s="19" t="s">
        <v>124</v>
      </c>
      <c r="E206" s="30" t="s">
        <v>121</v>
      </c>
      <c r="F206" s="31" t="s">
        <v>122</v>
      </c>
      <c r="G206" s="31" t="str">
        <f>_xlfn.IFNA(VLOOKUP(F206,'Look Table'!B$1:E$64,3,FALSE),"")</f>
        <v>Aspen</v>
      </c>
      <c r="H206" s="31" t="str">
        <f>_xlfn.IFNA(VLOOKUP(F206,'Look Table'!B$1:E$64,4,FALSE),"")</f>
        <v>DMCplus</v>
      </c>
      <c r="I206" s="41" t="s">
        <v>463</v>
      </c>
      <c r="J206" s="31" t="str">
        <f t="shared" si="3"/>
        <v>LAR_CAR</v>
      </c>
      <c r="K206" s="3" t="str">
        <f>J206&amp;"_"&amp;E206&amp;IF(ISNUMBER(SEARCH("PAS",G206)),"","_")&amp;(_xlfn.TEXTJOIN("_",TRUE,IF(G206 &lt;&gt; "PAS",G206:H206,""))&amp;(IF(Table1[[#This Row],[Sub-Area]]&lt;&gt;"",_xlfn.CONCAT("_",Table1[[#This Row],[Sub-Area]]),"")))</f>
        <v>LAR_CAR_APC_Aspen_DMCplus_North_fccdehex</v>
      </c>
      <c r="L206" s="32" t="str">
        <f>IF(I206 &lt;&gt; "",I206&amp;":\PAS\CBR\ProcessedFiles\"&amp;Table1[[#This Row],[Units]]&amp;"\"&amp;Table1[[#This Row],[Asset Type]]&amp;"\"&amp;K206,"")</f>
        <v>D:\PAS\CBR\ProcessedFiles\CAR\APC\LAR_CAR_APC_Aspen_DMCplus_North_fccdehex</v>
      </c>
      <c r="M206" s="33" t="str">
        <f>"MKDIR "&amp;Table1[[#This Row],[Suggested Folder Naming]]</f>
        <v>MKDIR D:\PAS\CBR\ProcessedFiles\CAR\APC\LAR_CAR_APC_Aspen_DMCplus_North_fccdehex</v>
      </c>
    </row>
    <row r="207" spans="1:13" s="1" customFormat="1" x14ac:dyDescent="0.25">
      <c r="A207" s="21"/>
      <c r="B207" s="7" t="s">
        <v>584</v>
      </c>
      <c r="C207" s="8" t="s">
        <v>477</v>
      </c>
      <c r="D207" s="19" t="s">
        <v>125</v>
      </c>
      <c r="E207" s="30" t="s">
        <v>121</v>
      </c>
      <c r="F207" s="31" t="s">
        <v>122</v>
      </c>
      <c r="G207" s="31" t="str">
        <f>_xlfn.IFNA(VLOOKUP(F207,'Look Table'!B$1:E$64,3,FALSE),"")</f>
        <v>Aspen</v>
      </c>
      <c r="H207" s="31" t="str">
        <f>_xlfn.IFNA(VLOOKUP(F207,'Look Table'!B$1:E$64,4,FALSE),"")</f>
        <v>DMCplus</v>
      </c>
      <c r="I207" s="41" t="s">
        <v>463</v>
      </c>
      <c r="J207" s="31" t="str">
        <f t="shared" si="3"/>
        <v>LAR_CAR</v>
      </c>
      <c r="K207" s="3" t="str">
        <f>J207&amp;"_"&amp;E207&amp;IF(ISNUMBER(SEARCH("PAS",G207)),"","_")&amp;(_xlfn.TEXTJOIN("_",TRUE,IF(G207 &lt;&gt; "PAS",G207:H207,""))&amp;(IF(Table1[[#This Row],[Sub-Area]]&lt;&gt;"",_xlfn.CONCAT("_",Table1[[#This Row],[Sub-Area]]),"")))</f>
        <v>LAR_CAR_APC_Aspen_DMCplus_North_fccu</v>
      </c>
      <c r="L207" s="32" t="str">
        <f>IF(I207 &lt;&gt; "",I207&amp;":\PAS\CBR\ProcessedFiles\"&amp;Table1[[#This Row],[Units]]&amp;"\"&amp;Table1[[#This Row],[Asset Type]]&amp;"\"&amp;K207,"")</f>
        <v>D:\PAS\CBR\ProcessedFiles\CAR\APC\LAR_CAR_APC_Aspen_DMCplus_North_fccu</v>
      </c>
      <c r="M207" s="33" t="str">
        <f>"MKDIR "&amp;Table1[[#This Row],[Suggested Folder Naming]]</f>
        <v>MKDIR D:\PAS\CBR\ProcessedFiles\CAR\APC\LAR_CAR_APC_Aspen_DMCplus_North_fccu</v>
      </c>
    </row>
    <row r="208" spans="1:13" s="1" customFormat="1" x14ac:dyDescent="0.25">
      <c r="A208" s="21"/>
      <c r="B208" s="7" t="s">
        <v>584</v>
      </c>
      <c r="C208" s="8" t="s">
        <v>477</v>
      </c>
      <c r="D208" s="19" t="s">
        <v>126</v>
      </c>
      <c r="E208" s="30" t="s">
        <v>121</v>
      </c>
      <c r="F208" s="31" t="s">
        <v>122</v>
      </c>
      <c r="G208" s="31" t="str">
        <f>_xlfn.IFNA(VLOOKUP(F208,'Look Table'!B$1:E$64,3,FALSE),"")</f>
        <v>Aspen</v>
      </c>
      <c r="H208" s="31" t="str">
        <f>_xlfn.IFNA(VLOOKUP(F208,'Look Table'!B$1:E$64,4,FALSE),"")</f>
        <v>DMCplus</v>
      </c>
      <c r="I208" s="41" t="s">
        <v>463</v>
      </c>
      <c r="J208" s="31" t="str">
        <f t="shared" si="3"/>
        <v>LAR_CAR</v>
      </c>
      <c r="K208" s="3" t="str">
        <f>J208&amp;"_"&amp;E208&amp;IF(ISNUMBER(SEARCH("PAS",G208)),"","_")&amp;(_xlfn.TEXTJOIN("_",TRUE,IF(G208 &lt;&gt; "PAS",G208:H208,""))&amp;(IF(Table1[[#This Row],[Sub-Area]]&lt;&gt;"",_xlfn.CONCAT("_",Table1[[#This Row],[Sub-Area]]),"")))</f>
        <v>LAR_CAR_APC_Aspen_DMCplus_North_ffhds</v>
      </c>
      <c r="L208" s="32" t="str">
        <f>IF(I208 &lt;&gt; "",I208&amp;":\PAS\CBR\ProcessedFiles\"&amp;Table1[[#This Row],[Units]]&amp;"\"&amp;Table1[[#This Row],[Asset Type]]&amp;"\"&amp;K208,"")</f>
        <v>D:\PAS\CBR\ProcessedFiles\CAR\APC\LAR_CAR_APC_Aspen_DMCplus_North_ffhds</v>
      </c>
      <c r="M208" s="33" t="str">
        <f>"MKDIR "&amp;Table1[[#This Row],[Suggested Folder Naming]]</f>
        <v>MKDIR D:\PAS\CBR\ProcessedFiles\CAR\APC\LAR_CAR_APC_Aspen_DMCplus_North_ffhds</v>
      </c>
    </row>
    <row r="209" spans="1:13" s="1" customFormat="1" x14ac:dyDescent="0.25">
      <c r="A209" s="21"/>
      <c r="B209" s="7" t="s">
        <v>584</v>
      </c>
      <c r="C209" s="8" t="s">
        <v>477</v>
      </c>
      <c r="D209" s="19" t="s">
        <v>127</v>
      </c>
      <c r="E209" s="30" t="s">
        <v>121</v>
      </c>
      <c r="F209" s="31" t="s">
        <v>122</v>
      </c>
      <c r="G209" s="31" t="str">
        <f>_xlfn.IFNA(VLOOKUP(F209,'Look Table'!B$1:E$64,3,FALSE),"")</f>
        <v>Aspen</v>
      </c>
      <c r="H209" s="31" t="str">
        <f>_xlfn.IFNA(VLOOKUP(F209,'Look Table'!B$1:E$64,4,FALSE),"")</f>
        <v>DMCplus</v>
      </c>
      <c r="I209" s="41" t="s">
        <v>463</v>
      </c>
      <c r="J209" s="31" t="str">
        <f t="shared" si="3"/>
        <v>LAR_CAR</v>
      </c>
      <c r="K209" s="3" t="str">
        <f>J209&amp;"_"&amp;E209&amp;IF(ISNUMBER(SEARCH("PAS",G209)),"","_")&amp;(_xlfn.TEXTJOIN("_",TRUE,IF(G209 &lt;&gt; "PAS",G209:H209,""))&amp;(IF(Table1[[#This Row],[Sub-Area]]&lt;&gt;"",_xlfn.CONCAT("_",Table1[[#This Row],[Sub-Area]]),"")))</f>
        <v>LAR_CAR_APC_Aspen_DMCplus_North_gasplant</v>
      </c>
      <c r="L209" s="32" t="str">
        <f>IF(I209 &lt;&gt; "",I209&amp;":\PAS\CBR\ProcessedFiles\"&amp;Table1[[#This Row],[Units]]&amp;"\"&amp;Table1[[#This Row],[Asset Type]]&amp;"\"&amp;K209,"")</f>
        <v>D:\PAS\CBR\ProcessedFiles\CAR\APC\LAR_CAR_APC_Aspen_DMCplus_North_gasplant</v>
      </c>
      <c r="M209" s="33" t="str">
        <f>"MKDIR "&amp;Table1[[#This Row],[Suggested Folder Naming]]</f>
        <v>MKDIR D:\PAS\CBR\ProcessedFiles\CAR\APC\LAR_CAR_APC_Aspen_DMCplus_North_gasplant</v>
      </c>
    </row>
    <row r="210" spans="1:13" s="1" customFormat="1" x14ac:dyDescent="0.25">
      <c r="A210" s="21"/>
      <c r="B210" s="7" t="s">
        <v>584</v>
      </c>
      <c r="C210" s="8" t="s">
        <v>477</v>
      </c>
      <c r="D210" s="19" t="s">
        <v>128</v>
      </c>
      <c r="E210" s="30" t="s">
        <v>121</v>
      </c>
      <c r="F210" s="31" t="s">
        <v>122</v>
      </c>
      <c r="G210" s="31" t="str">
        <f>_xlfn.IFNA(VLOOKUP(F210,'Look Table'!B$1:E$64,3,FALSE),"")</f>
        <v>Aspen</v>
      </c>
      <c r="H210" s="31" t="str">
        <f>_xlfn.IFNA(VLOOKUP(F210,'Look Table'!B$1:E$64,4,FALSE),"")</f>
        <v>DMCplus</v>
      </c>
      <c r="I210" s="41" t="s">
        <v>463</v>
      </c>
      <c r="J210" s="31" t="str">
        <f t="shared" si="3"/>
        <v>LAR_CAR</v>
      </c>
      <c r="K210" s="3" t="str">
        <f>J210&amp;"_"&amp;E210&amp;IF(ISNUMBER(SEARCH("PAS",G210)),"","_")&amp;(_xlfn.TEXTJOIN("_",TRUE,IF(G210 &lt;&gt; "PAS",G210:H210,""))&amp;(IF(Table1[[#This Row],[Sub-Area]]&lt;&gt;"",_xlfn.CONCAT("_",Table1[[#This Row],[Sub-Area]]),"")))</f>
        <v>LAR_CAR_APC_Aspen_DMCplus_North_h2plt</v>
      </c>
      <c r="L210" s="32" t="str">
        <f>IF(I210 &lt;&gt; "",I210&amp;":\PAS\CBR\ProcessedFiles\"&amp;Table1[[#This Row],[Units]]&amp;"\"&amp;Table1[[#This Row],[Asset Type]]&amp;"\"&amp;K210,"")</f>
        <v>D:\PAS\CBR\ProcessedFiles\CAR\APC\LAR_CAR_APC_Aspen_DMCplus_North_h2plt</v>
      </c>
      <c r="M210" s="33" t="str">
        <f>"MKDIR "&amp;Table1[[#This Row],[Suggested Folder Naming]]</f>
        <v>MKDIR D:\PAS\CBR\ProcessedFiles\CAR\APC\LAR_CAR_APC_Aspen_DMCplus_North_h2plt</v>
      </c>
    </row>
    <row r="211" spans="1:13" s="1" customFormat="1" x14ac:dyDescent="0.25">
      <c r="A211" s="21"/>
      <c r="B211" s="7" t="s">
        <v>584</v>
      </c>
      <c r="C211" s="8" t="s">
        <v>477</v>
      </c>
      <c r="D211" s="19" t="s">
        <v>129</v>
      </c>
      <c r="E211" s="30" t="s">
        <v>121</v>
      </c>
      <c r="F211" s="31" t="s">
        <v>122</v>
      </c>
      <c r="G211" s="31" t="str">
        <f>_xlfn.IFNA(VLOOKUP(F211,'Look Table'!B$1:E$64,3,FALSE),"")</f>
        <v>Aspen</v>
      </c>
      <c r="H211" s="31" t="str">
        <f>_xlfn.IFNA(VLOOKUP(F211,'Look Table'!B$1:E$64,4,FALSE),"")</f>
        <v>DMCplus</v>
      </c>
      <c r="I211" s="41" t="s">
        <v>463</v>
      </c>
      <c r="J211" s="31" t="str">
        <f t="shared" si="3"/>
        <v>LAR_CAR</v>
      </c>
      <c r="K211" s="3" t="str">
        <f>J211&amp;"_"&amp;E211&amp;IF(ISNUMBER(SEARCH("PAS",G211)),"","_")&amp;(_xlfn.TEXTJOIN("_",TRUE,IF(G211 &lt;&gt; "PAS",G211:H211,""))&amp;(IF(Table1[[#This Row],[Sub-Area]]&lt;&gt;"",_xlfn.CONCAT("_",Table1[[#This Row],[Sub-Area]]),"")))</f>
        <v>LAR_CAR_APC_Aspen_DMCplus_North_hcu</v>
      </c>
      <c r="L211" s="32" t="str">
        <f>IF(I211 &lt;&gt; "",I211&amp;":\PAS\CBR\ProcessedFiles\"&amp;Table1[[#This Row],[Units]]&amp;"\"&amp;Table1[[#This Row],[Asset Type]]&amp;"\"&amp;K211,"")</f>
        <v>D:\PAS\CBR\ProcessedFiles\CAR\APC\LAR_CAR_APC_Aspen_DMCplus_North_hcu</v>
      </c>
      <c r="M211" s="33" t="str">
        <f>"MKDIR "&amp;Table1[[#This Row],[Suggested Folder Naming]]</f>
        <v>MKDIR D:\PAS\CBR\ProcessedFiles\CAR\APC\LAR_CAR_APC_Aspen_DMCplus_North_hcu</v>
      </c>
    </row>
    <row r="212" spans="1:13" s="1" customFormat="1" x14ac:dyDescent="0.25">
      <c r="A212" s="21"/>
      <c r="B212" s="7" t="s">
        <v>584</v>
      </c>
      <c r="C212" s="8" t="s">
        <v>477</v>
      </c>
      <c r="D212" s="19" t="s">
        <v>130</v>
      </c>
      <c r="E212" s="30" t="s">
        <v>121</v>
      </c>
      <c r="F212" s="31" t="s">
        <v>122</v>
      </c>
      <c r="G212" s="31" t="str">
        <f>_xlfn.IFNA(VLOOKUP(F212,'Look Table'!B$1:E$64,3,FALSE),"")</f>
        <v>Aspen</v>
      </c>
      <c r="H212" s="31" t="str">
        <f>_xlfn.IFNA(VLOOKUP(F212,'Look Table'!B$1:E$64,4,FALSE),"")</f>
        <v>DMCplus</v>
      </c>
      <c r="I212" s="41" t="s">
        <v>463</v>
      </c>
      <c r="J212" s="31" t="str">
        <f t="shared" si="3"/>
        <v>LAR_CAR</v>
      </c>
      <c r="K212" s="3" t="str">
        <f>J212&amp;"_"&amp;E212&amp;IF(ISNUMBER(SEARCH("PAS",G212)),"","_")&amp;(_xlfn.TEXTJOIN("_",TRUE,IF(G212 &lt;&gt; "PAS",G212:H212,""))&amp;(IF(Table1[[#This Row],[Sub-Area]]&lt;&gt;"",_xlfn.CONCAT("_",Table1[[#This Row],[Sub-Area]]),"")))</f>
        <v>LAR_CAR_APC_Aspen_DMCplus_North_ref2</v>
      </c>
      <c r="L212" s="32" t="str">
        <f>IF(I212 &lt;&gt; "",I212&amp;":\PAS\CBR\ProcessedFiles\"&amp;Table1[[#This Row],[Units]]&amp;"\"&amp;Table1[[#This Row],[Asset Type]]&amp;"\"&amp;K212,"")</f>
        <v>D:\PAS\CBR\ProcessedFiles\CAR\APC\LAR_CAR_APC_Aspen_DMCplus_North_ref2</v>
      </c>
      <c r="M212" s="33" t="str">
        <f>"MKDIR "&amp;Table1[[#This Row],[Suggested Folder Naming]]</f>
        <v>MKDIR D:\PAS\CBR\ProcessedFiles\CAR\APC\LAR_CAR_APC_Aspen_DMCplus_North_ref2</v>
      </c>
    </row>
    <row r="213" spans="1:13" s="1" customFormat="1" x14ac:dyDescent="0.25">
      <c r="A213" s="21"/>
      <c r="B213" s="7" t="s">
        <v>584</v>
      </c>
      <c r="C213" s="8" t="s">
        <v>477</v>
      </c>
      <c r="D213" s="19" t="s">
        <v>131</v>
      </c>
      <c r="E213" s="30" t="s">
        <v>121</v>
      </c>
      <c r="F213" s="31" t="s">
        <v>122</v>
      </c>
      <c r="G213" s="31" t="str">
        <f>_xlfn.IFNA(VLOOKUP(F213,'Look Table'!B$1:E$64,3,FALSE),"")</f>
        <v>Aspen</v>
      </c>
      <c r="H213" s="31" t="str">
        <f>_xlfn.IFNA(VLOOKUP(F213,'Look Table'!B$1:E$64,4,FALSE),"")</f>
        <v>DMCplus</v>
      </c>
      <c r="I213" s="41" t="s">
        <v>463</v>
      </c>
      <c r="J213" s="31" t="str">
        <f t="shared" si="3"/>
        <v>LAR_CAR</v>
      </c>
      <c r="K213" s="3" t="str">
        <f>J213&amp;"_"&amp;E213&amp;IF(ISNUMBER(SEARCH("PAS",G213)),"","_")&amp;(_xlfn.TEXTJOIN("_",TRUE,IF(G213 &lt;&gt; "PAS",G213:H213,""))&amp;(IF(Table1[[#This Row],[Sub-Area]]&lt;&gt;"",_xlfn.CONCAT("_",Table1[[#This Row],[Sub-Area]]),"")))</f>
        <v>LAR_CAR_APC_Aspen_DMCplus_South_acid</v>
      </c>
      <c r="L213" s="32" t="str">
        <f>IF(I213 &lt;&gt; "",I213&amp;":\PAS\CBR\ProcessedFiles\"&amp;Table1[[#This Row],[Units]]&amp;"\"&amp;Table1[[#This Row],[Asset Type]]&amp;"\"&amp;K213,"")</f>
        <v>D:\PAS\CBR\ProcessedFiles\CAR\APC\LAR_CAR_APC_Aspen_DMCplus_South_acid</v>
      </c>
      <c r="M213" s="33" t="str">
        <f>"MKDIR "&amp;Table1[[#This Row],[Suggested Folder Naming]]</f>
        <v>MKDIR D:\PAS\CBR\ProcessedFiles\CAR\APC\LAR_CAR_APC_Aspen_DMCplus_South_acid</v>
      </c>
    </row>
    <row r="214" spans="1:13" s="1" customFormat="1" x14ac:dyDescent="0.25">
      <c r="A214" s="21"/>
      <c r="B214" s="7" t="s">
        <v>584</v>
      </c>
      <c r="C214" s="8" t="s">
        <v>477</v>
      </c>
      <c r="D214" s="19" t="s">
        <v>132</v>
      </c>
      <c r="E214" s="30" t="s">
        <v>121</v>
      </c>
      <c r="F214" s="31" t="s">
        <v>122</v>
      </c>
      <c r="G214" s="31" t="str">
        <f>_xlfn.IFNA(VLOOKUP(F214,'Look Table'!B$1:E$64,3,FALSE),"")</f>
        <v>Aspen</v>
      </c>
      <c r="H214" s="31" t="str">
        <f>_xlfn.IFNA(VLOOKUP(F214,'Look Table'!B$1:E$64,4,FALSE),"")</f>
        <v>DMCplus</v>
      </c>
      <c r="I214" s="41" t="s">
        <v>463</v>
      </c>
      <c r="J214" s="31" t="str">
        <f t="shared" si="3"/>
        <v>LAR_CAR</v>
      </c>
      <c r="K214" s="3" t="str">
        <f>J214&amp;"_"&amp;E214&amp;IF(ISNUMBER(SEARCH("PAS",G214)),"","_")&amp;(_xlfn.TEXTJOIN("_",TRUE,IF(G214 &lt;&gt; "PAS",G214:H214,""))&amp;(IF(Table1[[#This Row],[Sub-Area]]&lt;&gt;"",_xlfn.CONCAT("_",Table1[[#This Row],[Sub-Area]]),"")))</f>
        <v>LAR_CAR_APC_Aspen_DMCplus_South_alkdeb</v>
      </c>
      <c r="L214" s="32" t="str">
        <f>IF(I214 &lt;&gt; "",I214&amp;":\PAS\CBR\ProcessedFiles\"&amp;Table1[[#This Row],[Units]]&amp;"\"&amp;Table1[[#This Row],[Asset Type]]&amp;"\"&amp;K214,"")</f>
        <v>D:\PAS\CBR\ProcessedFiles\CAR\APC\LAR_CAR_APC_Aspen_DMCplus_South_alkdeb</v>
      </c>
      <c r="M214" s="33" t="str">
        <f>"MKDIR "&amp;Table1[[#This Row],[Suggested Folder Naming]]</f>
        <v>MKDIR D:\PAS\CBR\ProcessedFiles\CAR\APC\LAR_CAR_APC_Aspen_DMCplus_South_alkdeb</v>
      </c>
    </row>
    <row r="215" spans="1:13" s="1" customFormat="1" x14ac:dyDescent="0.25">
      <c r="A215" s="21"/>
      <c r="B215" s="7" t="s">
        <v>584</v>
      </c>
      <c r="C215" s="8" t="s">
        <v>477</v>
      </c>
      <c r="D215" s="19" t="s">
        <v>133</v>
      </c>
      <c r="E215" s="30" t="s">
        <v>121</v>
      </c>
      <c r="F215" s="31" t="s">
        <v>122</v>
      </c>
      <c r="G215" s="31" t="str">
        <f>_xlfn.IFNA(VLOOKUP(F215,'Look Table'!B$1:E$64,3,FALSE),"")</f>
        <v>Aspen</v>
      </c>
      <c r="H215" s="31" t="str">
        <f>_xlfn.IFNA(VLOOKUP(F215,'Look Table'!B$1:E$64,4,FALSE),"")</f>
        <v>DMCplus</v>
      </c>
      <c r="I215" s="41" t="s">
        <v>463</v>
      </c>
      <c r="J215" s="31" t="str">
        <f t="shared" si="3"/>
        <v>LAR_CAR</v>
      </c>
      <c r="K215" s="3" t="str">
        <f>J215&amp;"_"&amp;E215&amp;IF(ISNUMBER(SEARCH("PAS",G215)),"","_")&amp;(_xlfn.TEXTJOIN("_",TRUE,IF(G215 &lt;&gt; "PAS",G215:H215,""))&amp;(IF(Table1[[#This Row],[Sub-Area]]&lt;&gt;"",_xlfn.CONCAT("_",Table1[[#This Row],[Sub-Area]]),"")))</f>
        <v>LAR_CAR_APC_Aspen_DMCplus_South_alky</v>
      </c>
      <c r="L215" s="32" t="str">
        <f>IF(I215 &lt;&gt; "",I215&amp;":\PAS\CBR\ProcessedFiles\"&amp;Table1[[#This Row],[Units]]&amp;"\"&amp;Table1[[#This Row],[Asset Type]]&amp;"\"&amp;K215,"")</f>
        <v>D:\PAS\CBR\ProcessedFiles\CAR\APC\LAR_CAR_APC_Aspen_DMCplus_South_alky</v>
      </c>
      <c r="M215" s="33" t="str">
        <f>"MKDIR "&amp;Table1[[#This Row],[Suggested Folder Naming]]</f>
        <v>MKDIR D:\PAS\CBR\ProcessedFiles\CAR\APC\LAR_CAR_APC_Aspen_DMCplus_South_alky</v>
      </c>
    </row>
    <row r="216" spans="1:13" s="1" customFormat="1" x14ac:dyDescent="0.25">
      <c r="A216" s="21"/>
      <c r="B216" s="7" t="s">
        <v>584</v>
      </c>
      <c r="C216" s="8" t="s">
        <v>477</v>
      </c>
      <c r="D216" s="19" t="s">
        <v>134</v>
      </c>
      <c r="E216" s="30" t="s">
        <v>121</v>
      </c>
      <c r="F216" s="31" t="s">
        <v>122</v>
      </c>
      <c r="G216" s="31" t="str">
        <f>_xlfn.IFNA(VLOOKUP(F216,'Look Table'!B$1:E$64,3,FALSE),"")</f>
        <v>Aspen</v>
      </c>
      <c r="H216" s="31" t="str">
        <f>_xlfn.IFNA(VLOOKUP(F216,'Look Table'!B$1:E$64,4,FALSE),"")</f>
        <v>DMCplus</v>
      </c>
      <c r="I216" s="41" t="s">
        <v>463</v>
      </c>
      <c r="J216" s="31" t="str">
        <f t="shared" si="3"/>
        <v>LAR_CAR</v>
      </c>
      <c r="K216" s="3" t="str">
        <f>J216&amp;"_"&amp;E216&amp;IF(ISNUMBER(SEARCH("PAS",G216)),"","_")&amp;(_xlfn.TEXTJOIN("_",TRUE,IF(G216 &lt;&gt; "PAS",G216:H216,""))&amp;(IF(Table1[[#This Row],[Sub-Area]]&lt;&gt;"",_xlfn.CONCAT("_",Table1[[#This Row],[Sub-Area]]),"")))</f>
        <v>LAR_CAR_APC_Aspen_DMCplus_South_C3SPLT</v>
      </c>
      <c r="L216" s="32" t="str">
        <f>IF(I216 &lt;&gt; "",I216&amp;":\PAS\CBR\ProcessedFiles\"&amp;Table1[[#This Row],[Units]]&amp;"\"&amp;Table1[[#This Row],[Asset Type]]&amp;"\"&amp;K216,"")</f>
        <v>D:\PAS\CBR\ProcessedFiles\CAR\APC\LAR_CAR_APC_Aspen_DMCplus_South_C3SPLT</v>
      </c>
      <c r="M216" s="33" t="str">
        <f>"MKDIR "&amp;Table1[[#This Row],[Suggested Folder Naming]]</f>
        <v>MKDIR D:\PAS\CBR\ProcessedFiles\CAR\APC\LAR_CAR_APC_Aspen_DMCplus_South_C3SPLT</v>
      </c>
    </row>
    <row r="217" spans="1:13" x14ac:dyDescent="0.25">
      <c r="A217" s="21"/>
      <c r="B217" s="7" t="s">
        <v>584</v>
      </c>
      <c r="C217" s="8" t="s">
        <v>477</v>
      </c>
      <c r="D217" s="19" t="s">
        <v>135</v>
      </c>
      <c r="E217" s="30" t="s">
        <v>121</v>
      </c>
      <c r="F217" s="31" t="s">
        <v>122</v>
      </c>
      <c r="G217" s="31" t="str">
        <f>_xlfn.IFNA(VLOOKUP(F217,'Look Table'!B$1:E$64,3,FALSE),"")</f>
        <v>Aspen</v>
      </c>
      <c r="H217" s="31" t="str">
        <f>_xlfn.IFNA(VLOOKUP(F217,'Look Table'!B$1:E$64,4,FALSE),"")</f>
        <v>DMCplus</v>
      </c>
      <c r="I217" s="41" t="s">
        <v>463</v>
      </c>
      <c r="J217" s="31" t="str">
        <f t="shared" si="3"/>
        <v>LAR_CAR</v>
      </c>
      <c r="K217" s="3" t="str">
        <f>J217&amp;"_"&amp;E217&amp;IF(ISNUMBER(SEARCH("PAS",G217)),"","_")&amp;(_xlfn.TEXTJOIN("_",TRUE,IF(G217 &lt;&gt; "PAS",G217:H217,""))&amp;(IF(Table1[[#This Row],[Sub-Area]]&lt;&gt;"",_xlfn.CONCAT("_",Table1[[#This Row],[Sub-Area]]),"")))</f>
        <v>LAR_CAR_APC_Aspen_DMCplus_South_coker1</v>
      </c>
      <c r="L217" s="32" t="str">
        <f>IF(I217 &lt;&gt; "",I217&amp;":\PAS\CBR\ProcessedFiles\"&amp;Table1[[#This Row],[Units]]&amp;"\"&amp;Table1[[#This Row],[Asset Type]]&amp;"\"&amp;K217,"")</f>
        <v>D:\PAS\CBR\ProcessedFiles\CAR\APC\LAR_CAR_APC_Aspen_DMCplus_South_coker1</v>
      </c>
      <c r="M217" s="33" t="str">
        <f>"MKDIR "&amp;Table1[[#This Row],[Suggested Folder Naming]]</f>
        <v>MKDIR D:\PAS\CBR\ProcessedFiles\CAR\APC\LAR_CAR_APC_Aspen_DMCplus_South_coker1</v>
      </c>
    </row>
    <row r="218" spans="1:13" x14ac:dyDescent="0.25">
      <c r="A218" s="21"/>
      <c r="B218" s="7" t="s">
        <v>584</v>
      </c>
      <c r="C218" s="8" t="s">
        <v>477</v>
      </c>
      <c r="D218" s="19" t="s">
        <v>136</v>
      </c>
      <c r="E218" s="30" t="s">
        <v>121</v>
      </c>
      <c r="F218" s="31" t="s">
        <v>122</v>
      </c>
      <c r="G218" s="31" t="str">
        <f>_xlfn.IFNA(VLOOKUP(F218,'Look Table'!B$1:E$64,3,FALSE),"")</f>
        <v>Aspen</v>
      </c>
      <c r="H218" s="31" t="str">
        <f>_xlfn.IFNA(VLOOKUP(F218,'Look Table'!B$1:E$64,4,FALSE),"")</f>
        <v>DMCplus</v>
      </c>
      <c r="I218" s="41" t="s">
        <v>463</v>
      </c>
      <c r="J218" s="31" t="str">
        <f t="shared" si="3"/>
        <v>LAR_CAR</v>
      </c>
      <c r="K218" s="3" t="str">
        <f>J218&amp;"_"&amp;E218&amp;IF(ISNUMBER(SEARCH("PAS",G218)),"","_")&amp;(_xlfn.TEXTJOIN("_",TRUE,IF(G218 &lt;&gt; "PAS",G218:H218,""))&amp;(IF(Table1[[#This Row],[Sub-Area]]&lt;&gt;"",_xlfn.CONCAT("_",Table1[[#This Row],[Sub-Area]]),"")))</f>
        <v>LAR_CAR_APC_Aspen_DMCplus_South_coker2</v>
      </c>
      <c r="L218" s="32" t="str">
        <f>IF(I218 &lt;&gt; "",I218&amp;":\PAS\CBR\ProcessedFiles\"&amp;Table1[[#This Row],[Units]]&amp;"\"&amp;Table1[[#This Row],[Asset Type]]&amp;"\"&amp;K218,"")</f>
        <v>D:\PAS\CBR\ProcessedFiles\CAR\APC\LAR_CAR_APC_Aspen_DMCplus_South_coker2</v>
      </c>
      <c r="M218" s="33" t="str">
        <f>"MKDIR "&amp;Table1[[#This Row],[Suggested Folder Naming]]</f>
        <v>MKDIR D:\PAS\CBR\ProcessedFiles\CAR\APC\LAR_CAR_APC_Aspen_DMCplus_South_coker2</v>
      </c>
    </row>
    <row r="219" spans="1:13" x14ac:dyDescent="0.25">
      <c r="A219" s="21"/>
      <c r="B219" s="7" t="s">
        <v>584</v>
      </c>
      <c r="C219" s="8" t="s">
        <v>477</v>
      </c>
      <c r="D219" s="19" t="s">
        <v>137</v>
      </c>
      <c r="E219" s="30" t="s">
        <v>121</v>
      </c>
      <c r="F219" s="31" t="s">
        <v>122</v>
      </c>
      <c r="G219" s="31" t="str">
        <f>_xlfn.IFNA(VLOOKUP(F219,'Look Table'!B$1:E$64,3,FALSE),"")</f>
        <v>Aspen</v>
      </c>
      <c r="H219" s="31" t="str">
        <f>_xlfn.IFNA(VLOOKUP(F219,'Look Table'!B$1:E$64,4,FALSE),"")</f>
        <v>DMCplus</v>
      </c>
      <c r="I219" s="41" t="s">
        <v>463</v>
      </c>
      <c r="J219" s="31" t="str">
        <f t="shared" si="3"/>
        <v>LAR_CAR</v>
      </c>
      <c r="K219" s="3" t="str">
        <f>J219&amp;"_"&amp;E219&amp;IF(ISNUMBER(SEARCH("PAS",G219)),"","_")&amp;(_xlfn.TEXTJOIN("_",TRUE,IF(G219 &lt;&gt; "PAS",G219:H219,""))&amp;(IF(Table1[[#This Row],[Sub-Area]]&lt;&gt;"",_xlfn.CONCAT("_",Table1[[#This Row],[Sub-Area]]),"")))</f>
        <v>LAR_CAR_APC_Aspen_DMCplus_South_crddehex</v>
      </c>
      <c r="L219" s="32" t="str">
        <f>IF(I219 &lt;&gt; "",I219&amp;":\PAS\CBR\ProcessedFiles\"&amp;Table1[[#This Row],[Units]]&amp;"\"&amp;Table1[[#This Row],[Asset Type]]&amp;"\"&amp;K219,"")</f>
        <v>D:\PAS\CBR\ProcessedFiles\CAR\APC\LAR_CAR_APC_Aspen_DMCplus_South_crddehex</v>
      </c>
      <c r="M219" s="33" t="str">
        <f>"MKDIR "&amp;Table1[[#This Row],[Suggested Folder Naming]]</f>
        <v>MKDIR D:\PAS\CBR\ProcessedFiles\CAR\APC\LAR_CAR_APC_Aspen_DMCplus_South_crddehex</v>
      </c>
    </row>
    <row r="220" spans="1:13" x14ac:dyDescent="0.25">
      <c r="A220" s="21"/>
      <c r="B220" s="7" t="s">
        <v>584</v>
      </c>
      <c r="C220" s="8" t="s">
        <v>477</v>
      </c>
      <c r="D220" s="19" t="s">
        <v>138</v>
      </c>
      <c r="E220" s="30" t="s">
        <v>121</v>
      </c>
      <c r="F220" s="31" t="s">
        <v>122</v>
      </c>
      <c r="G220" s="31" t="str">
        <f>_xlfn.IFNA(VLOOKUP(F220,'Look Table'!B$1:E$64,3,FALSE),"")</f>
        <v>Aspen</v>
      </c>
      <c r="H220" s="31" t="str">
        <f>_xlfn.IFNA(VLOOKUP(F220,'Look Table'!B$1:E$64,4,FALSE),"")</f>
        <v>DMCplus</v>
      </c>
      <c r="I220" s="41" t="s">
        <v>463</v>
      </c>
      <c r="J220" s="31" t="str">
        <f t="shared" si="3"/>
        <v>LAR_CAR</v>
      </c>
      <c r="K220" s="3" t="str">
        <f>J220&amp;"_"&amp;E220&amp;IF(ISNUMBER(SEARCH("PAS",G220)),"","_")&amp;(_xlfn.TEXTJOIN("_",TRUE,IF(G220 &lt;&gt; "PAS",G220:H220,""))&amp;(IF(Table1[[#This Row],[Sub-Area]]&lt;&gt;"",_xlfn.CONCAT("_",Table1[[#This Row],[Sub-Area]]),"")))</f>
        <v>LAR_CAR_APC_Aspen_DMCplus_South_crude1</v>
      </c>
      <c r="L220" s="32" t="str">
        <f>IF(I220 &lt;&gt; "",I220&amp;":\PAS\CBR\ProcessedFiles\"&amp;Table1[[#This Row],[Units]]&amp;"\"&amp;Table1[[#This Row],[Asset Type]]&amp;"\"&amp;K220,"")</f>
        <v>D:\PAS\CBR\ProcessedFiles\CAR\APC\LAR_CAR_APC_Aspen_DMCplus_South_crude1</v>
      </c>
      <c r="M220" s="33" t="str">
        <f>"MKDIR "&amp;Table1[[#This Row],[Suggested Folder Naming]]</f>
        <v>MKDIR D:\PAS\CBR\ProcessedFiles\CAR\APC\LAR_CAR_APC_Aspen_DMCplus_South_crude1</v>
      </c>
    </row>
    <row r="221" spans="1:13" x14ac:dyDescent="0.25">
      <c r="A221" s="21"/>
      <c r="B221" s="7" t="s">
        <v>584</v>
      </c>
      <c r="C221" s="8" t="s">
        <v>477</v>
      </c>
      <c r="D221" s="19" t="s">
        <v>139</v>
      </c>
      <c r="E221" s="30" t="s">
        <v>121</v>
      </c>
      <c r="F221" s="31" t="s">
        <v>122</v>
      </c>
      <c r="G221" s="31" t="str">
        <f>_xlfn.IFNA(VLOOKUP(F221,'Look Table'!B$1:E$64,3,FALSE),"")</f>
        <v>Aspen</v>
      </c>
      <c r="H221" s="31" t="str">
        <f>_xlfn.IFNA(VLOOKUP(F221,'Look Table'!B$1:E$64,4,FALSE),"")</f>
        <v>DMCplus</v>
      </c>
      <c r="I221" s="41" t="s">
        <v>463</v>
      </c>
      <c r="J221" s="31" t="str">
        <f t="shared" si="3"/>
        <v>LAR_CAR</v>
      </c>
      <c r="K221" s="3" t="str">
        <f>J221&amp;"_"&amp;E221&amp;IF(ISNUMBER(SEARCH("PAS",G221)),"","_")&amp;(_xlfn.TEXTJOIN("_",TRUE,IF(G221 &lt;&gt; "PAS",G221:H221,""))&amp;(IF(Table1[[#This Row],[Sub-Area]]&lt;&gt;"",_xlfn.CONCAT("_",Table1[[#This Row],[Sub-Area]]),"")))</f>
        <v>LAR_CAR_APC_Aspen_DMCplus_South_crude2</v>
      </c>
      <c r="L221" s="32" t="str">
        <f>IF(I221 &lt;&gt; "",I221&amp;":\PAS\CBR\ProcessedFiles\"&amp;Table1[[#This Row],[Units]]&amp;"\"&amp;Table1[[#This Row],[Asset Type]]&amp;"\"&amp;K221,"")</f>
        <v>D:\PAS\CBR\ProcessedFiles\CAR\APC\LAR_CAR_APC_Aspen_DMCplus_South_crude2</v>
      </c>
      <c r="M221" s="33" t="str">
        <f>"MKDIR "&amp;Table1[[#This Row],[Suggested Folder Naming]]</f>
        <v>MKDIR D:\PAS\CBR\ProcessedFiles\CAR\APC\LAR_CAR_APC_Aspen_DMCplus_South_crude2</v>
      </c>
    </row>
    <row r="222" spans="1:13" x14ac:dyDescent="0.25">
      <c r="A222" s="21"/>
      <c r="B222" s="7" t="s">
        <v>584</v>
      </c>
      <c r="C222" s="8" t="s">
        <v>477</v>
      </c>
      <c r="D222" s="19" t="s">
        <v>140</v>
      </c>
      <c r="E222" s="30" t="s">
        <v>121</v>
      </c>
      <c r="F222" s="31" t="s">
        <v>122</v>
      </c>
      <c r="G222" s="31" t="str">
        <f>_xlfn.IFNA(VLOOKUP(F222,'Look Table'!B$1:E$64,3,FALSE),"")</f>
        <v>Aspen</v>
      </c>
      <c r="H222" s="31" t="str">
        <f>_xlfn.IFNA(VLOOKUP(F222,'Look Table'!B$1:E$64,4,FALSE),"")</f>
        <v>DMCplus</v>
      </c>
      <c r="I222" s="41" t="s">
        <v>463</v>
      </c>
      <c r="J222" s="31" t="str">
        <f t="shared" si="3"/>
        <v>LAR_CAR</v>
      </c>
      <c r="K222" s="3" t="str">
        <f>J222&amp;"_"&amp;E222&amp;IF(ISNUMBER(SEARCH("PAS",G222)),"","_")&amp;(_xlfn.TEXTJOIN("_",TRUE,IF(G222 &lt;&gt; "PAS",G222:H222,""))&amp;(IF(Table1[[#This Row],[Sub-Area]]&lt;&gt;"",_xlfn.CONCAT("_",Table1[[#This Row],[Sub-Area]]),"")))</f>
        <v>LAR_CAR_APC_Aspen_DMCplus_South_crude4</v>
      </c>
      <c r="L222" s="32" t="str">
        <f>IF(I222 &lt;&gt; "",I222&amp;":\PAS\CBR\ProcessedFiles\"&amp;Table1[[#This Row],[Units]]&amp;"\"&amp;Table1[[#This Row],[Asset Type]]&amp;"\"&amp;K222,"")</f>
        <v>D:\PAS\CBR\ProcessedFiles\CAR\APC\LAR_CAR_APC_Aspen_DMCplus_South_crude4</v>
      </c>
      <c r="M222" s="33" t="str">
        <f>"MKDIR "&amp;Table1[[#This Row],[Suggested Folder Naming]]</f>
        <v>MKDIR D:\PAS\CBR\ProcessedFiles\CAR\APC\LAR_CAR_APC_Aspen_DMCplus_South_crude4</v>
      </c>
    </row>
    <row r="223" spans="1:13" x14ac:dyDescent="0.25">
      <c r="A223" s="21"/>
      <c r="B223" s="7" t="s">
        <v>584</v>
      </c>
      <c r="C223" s="8" t="s">
        <v>477</v>
      </c>
      <c r="D223" s="19" t="s">
        <v>141</v>
      </c>
      <c r="E223" s="30" t="s">
        <v>121</v>
      </c>
      <c r="F223" s="31" t="s">
        <v>122</v>
      </c>
      <c r="G223" s="31" t="str">
        <f>_xlfn.IFNA(VLOOKUP(F223,'Look Table'!B$1:E$64,3,FALSE),"")</f>
        <v>Aspen</v>
      </c>
      <c r="H223" s="31" t="str">
        <f>_xlfn.IFNA(VLOOKUP(F223,'Look Table'!B$1:E$64,4,FALSE),"")</f>
        <v>DMCplus</v>
      </c>
      <c r="I223" s="41" t="s">
        <v>463</v>
      </c>
      <c r="J223" s="31" t="str">
        <f t="shared" si="3"/>
        <v>LAR_CAR</v>
      </c>
      <c r="K223" s="3" t="str">
        <f>J223&amp;"_"&amp;E223&amp;IF(ISNUMBER(SEARCH("PAS",G223)),"","_")&amp;(_xlfn.TEXTJOIN("_",TRUE,IF(G223 &lt;&gt; "PAS",G223:H223,""))&amp;(IF(Table1[[#This Row],[Sub-Area]]&lt;&gt;"",_xlfn.CONCAT("_",Table1[[#This Row],[Sub-Area]]),"")))</f>
        <v>LAR_CAR_APC_Aspen_DMCplus_South_napspl</v>
      </c>
      <c r="L223" s="32" t="str">
        <f>IF(I223 &lt;&gt; "",I223&amp;":\PAS\CBR\ProcessedFiles\"&amp;Table1[[#This Row],[Units]]&amp;"\"&amp;Table1[[#This Row],[Asset Type]]&amp;"\"&amp;K223,"")</f>
        <v>D:\PAS\CBR\ProcessedFiles\CAR\APC\LAR_CAR_APC_Aspen_DMCplus_South_napspl</v>
      </c>
      <c r="M223" s="33" t="str">
        <f>"MKDIR "&amp;Table1[[#This Row],[Suggested Folder Naming]]</f>
        <v>MKDIR D:\PAS\CBR\ProcessedFiles\CAR\APC\LAR_CAR_APC_Aspen_DMCplus_South_napspl</v>
      </c>
    </row>
    <row r="224" spans="1:13" x14ac:dyDescent="0.25">
      <c r="A224" s="21"/>
      <c r="B224" s="7" t="s">
        <v>584</v>
      </c>
      <c r="C224" s="8" t="s">
        <v>475</v>
      </c>
      <c r="D224" s="19" t="s">
        <v>142</v>
      </c>
      <c r="E224" s="30" t="s">
        <v>121</v>
      </c>
      <c r="F224" s="31" t="s">
        <v>122</v>
      </c>
      <c r="G224" s="31" t="str">
        <f>_xlfn.IFNA(VLOOKUP(F224,'Look Table'!B$1:E$64,3,FALSE),"")</f>
        <v>Aspen</v>
      </c>
      <c r="H224" s="31" t="str">
        <f>_xlfn.IFNA(VLOOKUP(F224,'Look Table'!B$1:E$64,4,FALSE),"")</f>
        <v>DMCplus</v>
      </c>
      <c r="I224" s="41" t="s">
        <v>463</v>
      </c>
      <c r="J224" s="31" t="str">
        <f t="shared" si="3"/>
        <v>LAR_WIL</v>
      </c>
      <c r="K224" s="3" t="str">
        <f>J224&amp;"_"&amp;E224&amp;IF(ISNUMBER(SEARCH("PAS",G224)),"","_")&amp;(_xlfn.TEXTJOIN("_",TRUE,IF(G224 &lt;&gt; "PAS",G224:H224,""))&amp;(IF(Table1[[#This Row],[Sub-Area]]&lt;&gt;"",_xlfn.CONCAT("_",Table1[[#This Row],[Sub-Area]]),"")))</f>
        <v>LAR_WIL_APC_Aspen_DMCplus_14HTU4</v>
      </c>
      <c r="L224" s="32" t="str">
        <f>IF(I224 &lt;&gt; "",I224&amp;":\PAS\CBR\ProcessedFiles\"&amp;Table1[[#This Row],[Units]]&amp;"\"&amp;Table1[[#This Row],[Asset Type]]&amp;"\"&amp;K224,"")</f>
        <v>D:\PAS\CBR\ProcessedFiles\WIL\APC\LAR_WIL_APC_Aspen_DMCplus_14HTU4</v>
      </c>
      <c r="M224" s="33" t="str">
        <f>"MKDIR "&amp;Table1[[#This Row],[Suggested Folder Naming]]</f>
        <v>MKDIR D:\PAS\CBR\ProcessedFiles\WIL\APC\LAR_WIL_APC_Aspen_DMCplus_14HTU4</v>
      </c>
    </row>
    <row r="225" spans="1:13" x14ac:dyDescent="0.25">
      <c r="A225" s="21"/>
      <c r="B225" s="7" t="s">
        <v>584</v>
      </c>
      <c r="C225" s="8" t="s">
        <v>475</v>
      </c>
      <c r="D225" s="19" t="s">
        <v>143</v>
      </c>
      <c r="E225" s="30" t="s">
        <v>121</v>
      </c>
      <c r="F225" s="31" t="s">
        <v>122</v>
      </c>
      <c r="G225" s="31" t="str">
        <f>_xlfn.IFNA(VLOOKUP(F225,'Look Table'!B$1:E$64,3,FALSE),"")</f>
        <v>Aspen</v>
      </c>
      <c r="H225" s="31" t="str">
        <f>_xlfn.IFNA(VLOOKUP(F225,'Look Table'!B$1:E$64,4,FALSE),"")</f>
        <v>DMCplus</v>
      </c>
      <c r="I225" s="41" t="s">
        <v>463</v>
      </c>
      <c r="J225" s="31" t="str">
        <f t="shared" si="3"/>
        <v>LAR_WIL</v>
      </c>
      <c r="K225" s="3" t="str">
        <f>J225&amp;"_"&amp;E225&amp;IF(ISNUMBER(SEARCH("PAS",G225)),"","_")&amp;(_xlfn.TEXTJOIN("_",TRUE,IF(G225 &lt;&gt; "PAS",G225:H225,""))&amp;(IF(Table1[[#This Row],[Sub-Area]]&lt;&gt;"",_xlfn.CONCAT("_",Table1[[#This Row],[Sub-Area]]),"")))</f>
        <v>LAR_WIL_APC_Aspen_DMCplus_2alky</v>
      </c>
      <c r="L225" s="32" t="str">
        <f>IF(I225 &lt;&gt; "",I225&amp;":\PAS\CBR\ProcessedFiles\"&amp;Table1[[#This Row],[Units]]&amp;"\"&amp;Table1[[#This Row],[Asset Type]]&amp;"\"&amp;K225,"")</f>
        <v>D:\PAS\CBR\ProcessedFiles\WIL\APC\LAR_WIL_APC_Aspen_DMCplus_2alky</v>
      </c>
      <c r="M225" s="33" t="str">
        <f>"MKDIR "&amp;Table1[[#This Row],[Suggested Folder Naming]]</f>
        <v>MKDIR D:\PAS\CBR\ProcessedFiles\WIL\APC\LAR_WIL_APC_Aspen_DMCplus_2alky</v>
      </c>
    </row>
    <row r="226" spans="1:13" x14ac:dyDescent="0.25">
      <c r="A226" s="21"/>
      <c r="B226" s="7" t="s">
        <v>584</v>
      </c>
      <c r="C226" s="8" t="s">
        <v>475</v>
      </c>
      <c r="D226" s="19" t="s">
        <v>144</v>
      </c>
      <c r="E226" s="30" t="s">
        <v>121</v>
      </c>
      <c r="F226" s="31" t="s">
        <v>122</v>
      </c>
      <c r="G226" s="31" t="str">
        <f>_xlfn.IFNA(VLOOKUP(F226,'Look Table'!B$1:E$64,3,FALSE),"")</f>
        <v>Aspen</v>
      </c>
      <c r="H226" s="31" t="str">
        <f>_xlfn.IFNA(VLOOKUP(F226,'Look Table'!B$1:E$64,4,FALSE),"")</f>
        <v>DMCplus</v>
      </c>
      <c r="I226" s="41" t="s">
        <v>463</v>
      </c>
      <c r="J226" s="31" t="str">
        <f t="shared" si="3"/>
        <v>LAR_WIL</v>
      </c>
      <c r="K226" s="3" t="str">
        <f>J226&amp;"_"&amp;E226&amp;IF(ISNUMBER(SEARCH("PAS",G226)),"","_")&amp;(_xlfn.TEXTJOIN("_",TRUE,IF(G226 &lt;&gt; "PAS",G226:H226,""))&amp;(IF(Table1[[#This Row],[Sub-Area]]&lt;&gt;"",_xlfn.CONCAT("_",Table1[[#This Row],[Sub-Area]]),"")))</f>
        <v>LAR_WIL_APC_Aspen_DMCplus_2alky_acid</v>
      </c>
      <c r="L226" s="32" t="str">
        <f>IF(I226 &lt;&gt; "",I226&amp;":\PAS\CBR\ProcessedFiles\"&amp;Table1[[#This Row],[Units]]&amp;"\"&amp;Table1[[#This Row],[Asset Type]]&amp;"\"&amp;K226,"")</f>
        <v>D:\PAS\CBR\ProcessedFiles\WIL\APC\LAR_WIL_APC_Aspen_DMCplus_2alky_acid</v>
      </c>
      <c r="M226" s="33" t="str">
        <f>"MKDIR "&amp;Table1[[#This Row],[Suggested Folder Naming]]</f>
        <v>MKDIR D:\PAS\CBR\ProcessedFiles\WIL\APC\LAR_WIL_APC_Aspen_DMCplus_2alky_acid</v>
      </c>
    </row>
    <row r="227" spans="1:13" x14ac:dyDescent="0.25">
      <c r="A227" s="21"/>
      <c r="B227" s="7" t="s">
        <v>584</v>
      </c>
      <c r="C227" s="8" t="s">
        <v>475</v>
      </c>
      <c r="D227" s="19" t="s">
        <v>145</v>
      </c>
      <c r="E227" s="30" t="s">
        <v>121</v>
      </c>
      <c r="F227" s="31" t="s">
        <v>122</v>
      </c>
      <c r="G227" s="31" t="str">
        <f>_xlfn.IFNA(VLOOKUP(F227,'Look Table'!B$1:E$64,3,FALSE),"")</f>
        <v>Aspen</v>
      </c>
      <c r="H227" s="31" t="str">
        <f>_xlfn.IFNA(VLOOKUP(F227,'Look Table'!B$1:E$64,4,FALSE),"")</f>
        <v>DMCplus</v>
      </c>
      <c r="I227" s="41" t="s">
        <v>463</v>
      </c>
      <c r="J227" s="31" t="str">
        <f t="shared" si="3"/>
        <v>LAR_WIL</v>
      </c>
      <c r="K227" s="3" t="str">
        <f>J227&amp;"_"&amp;E227&amp;IF(ISNUMBER(SEARCH("PAS",G227)),"","_")&amp;(_xlfn.TEXTJOIN("_",TRUE,IF(G227 &lt;&gt; "PAS",G227:H227,""))&amp;(IF(Table1[[#This Row],[Sub-Area]]&lt;&gt;"",_xlfn.CONCAT("_",Table1[[#This Row],[Sub-Area]]),"")))</f>
        <v>LAR_WIL_APC_Aspen_DMCplus_3cdu</v>
      </c>
      <c r="L227" s="32" t="str">
        <f>IF(I227 &lt;&gt; "",I227&amp;":\PAS\CBR\ProcessedFiles\"&amp;Table1[[#This Row],[Units]]&amp;"\"&amp;Table1[[#This Row],[Asset Type]]&amp;"\"&amp;K227,"")</f>
        <v>D:\PAS\CBR\ProcessedFiles\WIL\APC\LAR_WIL_APC_Aspen_DMCplus_3cdu</v>
      </c>
      <c r="M227" s="33" t="str">
        <f>"MKDIR "&amp;Table1[[#This Row],[Suggested Folder Naming]]</f>
        <v>MKDIR D:\PAS\CBR\ProcessedFiles\WIL\APC\LAR_WIL_APC_Aspen_DMCplus_3cdu</v>
      </c>
    </row>
    <row r="228" spans="1:13" x14ac:dyDescent="0.25">
      <c r="A228" s="21"/>
      <c r="B228" s="7" t="s">
        <v>584</v>
      </c>
      <c r="C228" s="8" t="s">
        <v>475</v>
      </c>
      <c r="D228" s="19" t="s">
        <v>146</v>
      </c>
      <c r="E228" s="30" t="s">
        <v>121</v>
      </c>
      <c r="F228" s="31" t="s">
        <v>122</v>
      </c>
      <c r="G228" s="31" t="str">
        <f>_xlfn.IFNA(VLOOKUP(F228,'Look Table'!B$1:E$64,3,FALSE),"")</f>
        <v>Aspen</v>
      </c>
      <c r="H228" s="31" t="str">
        <f>_xlfn.IFNA(VLOOKUP(F228,'Look Table'!B$1:E$64,4,FALSE),"")</f>
        <v>DMCplus</v>
      </c>
      <c r="I228" s="41" t="s">
        <v>463</v>
      </c>
      <c r="J228" s="31" t="str">
        <f t="shared" si="3"/>
        <v>LAR_WIL</v>
      </c>
      <c r="K228" s="3" t="str">
        <f>J228&amp;"_"&amp;E228&amp;IF(ISNUMBER(SEARCH("PAS",G228)),"","_")&amp;(_xlfn.TEXTJOIN("_",TRUE,IF(G228 &lt;&gt; "PAS",G228:H228,""))&amp;(IF(Table1[[#This Row],[Sub-Area]]&lt;&gt;"",_xlfn.CONCAT("_",Table1[[#This Row],[Sub-Area]]),"")))</f>
        <v>LAR_WIL_APC_Aspen_DMCplus_3dcu</v>
      </c>
      <c r="L228" s="32" t="str">
        <f>IF(I228 &lt;&gt; "",I228&amp;":\PAS\CBR\ProcessedFiles\"&amp;Table1[[#This Row],[Units]]&amp;"\"&amp;Table1[[#This Row],[Asset Type]]&amp;"\"&amp;K228,"")</f>
        <v>D:\PAS\CBR\ProcessedFiles\WIL\APC\LAR_WIL_APC_Aspen_DMCplus_3dcu</v>
      </c>
      <c r="M228" s="33" t="str">
        <f>"MKDIR "&amp;Table1[[#This Row],[Suggested Folder Naming]]</f>
        <v>MKDIR D:\PAS\CBR\ProcessedFiles\WIL\APC\LAR_WIL_APC_Aspen_DMCplus_3dcu</v>
      </c>
    </row>
    <row r="229" spans="1:13" x14ac:dyDescent="0.25">
      <c r="A229" s="21"/>
      <c r="B229" s="7" t="s">
        <v>584</v>
      </c>
      <c r="C229" s="8" t="s">
        <v>475</v>
      </c>
      <c r="D229" s="19" t="s">
        <v>147</v>
      </c>
      <c r="E229" s="30" t="s">
        <v>121</v>
      </c>
      <c r="F229" s="31" t="s">
        <v>122</v>
      </c>
      <c r="G229" s="31" t="str">
        <f>_xlfn.IFNA(VLOOKUP(F229,'Look Table'!B$1:E$64,3,FALSE),"")</f>
        <v>Aspen</v>
      </c>
      <c r="H229" s="31" t="str">
        <f>_xlfn.IFNA(VLOOKUP(F229,'Look Table'!B$1:E$64,4,FALSE),"")</f>
        <v>DMCplus</v>
      </c>
      <c r="I229" s="41" t="s">
        <v>463</v>
      </c>
      <c r="J229" s="31" t="str">
        <f t="shared" si="3"/>
        <v>LAR_WIL</v>
      </c>
      <c r="K229" s="3" t="str">
        <f>J229&amp;"_"&amp;E229&amp;IF(ISNUMBER(SEARCH("PAS",G229)),"","_")&amp;(_xlfn.TEXTJOIN("_",TRUE,IF(G229 &lt;&gt; "PAS",G229:H229,""))&amp;(IF(Table1[[#This Row],[Sub-Area]]&lt;&gt;"",_xlfn.CONCAT("_",Table1[[#This Row],[Sub-Area]]),"")))</f>
        <v>LAR_WIL_APC_Aspen_DMCplus_42cru2</v>
      </c>
      <c r="L229" s="32" t="str">
        <f>IF(I229 &lt;&gt; "",I229&amp;":\PAS\CBR\ProcessedFiles\"&amp;Table1[[#This Row],[Units]]&amp;"\"&amp;Table1[[#This Row],[Asset Type]]&amp;"\"&amp;K229,"")</f>
        <v>D:\PAS\CBR\ProcessedFiles\WIL\APC\LAR_WIL_APC_Aspen_DMCplus_42cru2</v>
      </c>
      <c r="M229" s="33" t="str">
        <f>"MKDIR "&amp;Table1[[#This Row],[Suggested Folder Naming]]</f>
        <v>MKDIR D:\PAS\CBR\ProcessedFiles\WIL\APC\LAR_WIL_APC_Aspen_DMCplus_42cru2</v>
      </c>
    </row>
    <row r="230" spans="1:13" x14ac:dyDescent="0.25">
      <c r="A230" s="21"/>
      <c r="B230" s="7" t="s">
        <v>584</v>
      </c>
      <c r="C230" s="8" t="s">
        <v>475</v>
      </c>
      <c r="D230" s="19" t="s">
        <v>148</v>
      </c>
      <c r="E230" s="30" t="s">
        <v>121</v>
      </c>
      <c r="F230" s="31" t="s">
        <v>122</v>
      </c>
      <c r="G230" s="31" t="str">
        <f>_xlfn.IFNA(VLOOKUP(F230,'Look Table'!B$1:E$64,3,FALSE),"")</f>
        <v>Aspen</v>
      </c>
      <c r="H230" s="31" t="str">
        <f>_xlfn.IFNA(VLOOKUP(F230,'Look Table'!B$1:E$64,4,FALSE),"")</f>
        <v>DMCplus</v>
      </c>
      <c r="I230" s="41" t="s">
        <v>463</v>
      </c>
      <c r="J230" s="31" t="str">
        <f t="shared" si="3"/>
        <v>LAR_WIL</v>
      </c>
      <c r="K230" s="3" t="str">
        <f>J230&amp;"_"&amp;E230&amp;IF(ISNUMBER(SEARCH("PAS",G230)),"","_")&amp;(_xlfn.TEXTJOIN("_",TRUE,IF(G230 &lt;&gt; "PAS",G230:H230,""))&amp;(IF(Table1[[#This Row],[Sub-Area]]&lt;&gt;"",_xlfn.CONCAT("_",Table1[[#This Row],[Sub-Area]]),"")))</f>
        <v>LAR_WIL_APC_Aspen_DMCplus_43CRU3</v>
      </c>
      <c r="L230" s="32" t="str">
        <f>IF(I230 &lt;&gt; "",I230&amp;":\PAS\CBR\ProcessedFiles\"&amp;Table1[[#This Row],[Units]]&amp;"\"&amp;Table1[[#This Row],[Asset Type]]&amp;"\"&amp;K230,"")</f>
        <v>D:\PAS\CBR\ProcessedFiles\WIL\APC\LAR_WIL_APC_Aspen_DMCplus_43CRU3</v>
      </c>
      <c r="M230" s="33" t="str">
        <f>"MKDIR "&amp;Table1[[#This Row],[Suggested Folder Naming]]</f>
        <v>MKDIR D:\PAS\CBR\ProcessedFiles\WIL\APC\LAR_WIL_APC_Aspen_DMCplus_43CRU3</v>
      </c>
    </row>
    <row r="231" spans="1:13" x14ac:dyDescent="0.25">
      <c r="A231" s="21"/>
      <c r="B231" s="7" t="s">
        <v>584</v>
      </c>
      <c r="C231" s="8" t="s">
        <v>475</v>
      </c>
      <c r="D231" s="19" t="s">
        <v>149</v>
      </c>
      <c r="E231" s="30" t="s">
        <v>121</v>
      </c>
      <c r="F231" s="31" t="s">
        <v>122</v>
      </c>
      <c r="G231" s="31" t="str">
        <f>_xlfn.IFNA(VLOOKUP(F231,'Look Table'!B$1:E$64,3,FALSE),"")</f>
        <v>Aspen</v>
      </c>
      <c r="H231" s="31" t="str">
        <f>_xlfn.IFNA(VLOOKUP(F231,'Look Table'!B$1:E$64,4,FALSE),"")</f>
        <v>DMCplus</v>
      </c>
      <c r="I231" s="41" t="s">
        <v>463</v>
      </c>
      <c r="J231" s="31" t="str">
        <f t="shared" si="3"/>
        <v>LAR_WIL</v>
      </c>
      <c r="K231" s="3" t="str">
        <f>J231&amp;"_"&amp;E231&amp;IF(ISNUMBER(SEARCH("PAS",G231)),"","_")&amp;(_xlfn.TEXTJOIN("_",TRUE,IF(G231 &lt;&gt; "PAS",G231:H231,""))&amp;(IF(Table1[[#This Row],[Sub-Area]]&lt;&gt;"",_xlfn.CONCAT("_",Table1[[#This Row],[Sub-Area]]),"")))</f>
        <v>LAR_WIL_APC_Aspen_DMCplus_5hcu</v>
      </c>
      <c r="L231" s="32" t="str">
        <f>IF(I231 &lt;&gt; "",I231&amp;":\PAS\CBR\ProcessedFiles\"&amp;Table1[[#This Row],[Units]]&amp;"\"&amp;Table1[[#This Row],[Asset Type]]&amp;"\"&amp;K231,"")</f>
        <v>D:\PAS\CBR\ProcessedFiles\WIL\APC\LAR_WIL_APC_Aspen_DMCplus_5hcu</v>
      </c>
      <c r="M231" s="33" t="str">
        <f>"MKDIR "&amp;Table1[[#This Row],[Suggested Folder Naming]]</f>
        <v>MKDIR D:\PAS\CBR\ProcessedFiles\WIL\APC\LAR_WIL_APC_Aspen_DMCplus_5hcu</v>
      </c>
    </row>
    <row r="232" spans="1:13" x14ac:dyDescent="0.25">
      <c r="A232" s="21"/>
      <c r="B232" s="7" t="s">
        <v>584</v>
      </c>
      <c r="C232" s="8" t="s">
        <v>477</v>
      </c>
      <c r="D232" s="19" t="s">
        <v>150</v>
      </c>
      <c r="E232" s="30" t="s">
        <v>121</v>
      </c>
      <c r="F232" s="31" t="s">
        <v>151</v>
      </c>
      <c r="G232" s="31" t="str">
        <f>_xlfn.IFNA(VLOOKUP(F232,'Look Table'!B$1:E$64,3,FALSE),"")</f>
        <v>Aspen</v>
      </c>
      <c r="H232" s="31" t="str">
        <f>_xlfn.IFNA(VLOOKUP(F232,'Look Table'!B$1:E$64,4,FALSE),"")</f>
        <v>IQ</v>
      </c>
      <c r="I232" s="41" t="s">
        <v>463</v>
      </c>
      <c r="J232" s="31" t="str">
        <f t="shared" si="3"/>
        <v>LAR_CAR</v>
      </c>
      <c r="K232" s="3" t="str">
        <f>J232&amp;"_"&amp;E232&amp;IF(ISNUMBER(SEARCH("PAS",G232)),"","_")&amp;(_xlfn.TEXTJOIN("_",TRUE,IF(G232 &lt;&gt; "PAS",G232:H232,""))&amp;(IF(Table1[[#This Row],[Sub-Area]]&lt;&gt;"",_xlfn.CONCAT("_",Table1[[#This Row],[Sub-Area]]),"")))</f>
        <v>LAR_CAR_APC_Aspen_IQ_North_iq2ref</v>
      </c>
      <c r="L232" s="32" t="str">
        <f>IF(I232 &lt;&gt; "",I232&amp;":\PAS\CBR\ProcessedFiles\"&amp;Table1[[#This Row],[Units]]&amp;"\"&amp;Table1[[#This Row],[Asset Type]]&amp;"\"&amp;K232,"")</f>
        <v>D:\PAS\CBR\ProcessedFiles\CAR\APC\LAR_CAR_APC_Aspen_IQ_North_iq2ref</v>
      </c>
      <c r="M232" s="33" t="str">
        <f>"MKDIR "&amp;Table1[[#This Row],[Suggested Folder Naming]]</f>
        <v>MKDIR D:\PAS\CBR\ProcessedFiles\CAR\APC\LAR_CAR_APC_Aspen_IQ_North_iq2ref</v>
      </c>
    </row>
    <row r="233" spans="1:13" x14ac:dyDescent="0.25">
      <c r="A233" s="21"/>
      <c r="B233" s="7" t="s">
        <v>584</v>
      </c>
      <c r="C233" s="8" t="s">
        <v>477</v>
      </c>
      <c r="D233" s="19" t="s">
        <v>152</v>
      </c>
      <c r="E233" s="30" t="s">
        <v>121</v>
      </c>
      <c r="F233" s="31" t="s">
        <v>151</v>
      </c>
      <c r="G233" s="31" t="str">
        <f>_xlfn.IFNA(VLOOKUP(F233,'Look Table'!B$1:E$64,3,FALSE),"")</f>
        <v>Aspen</v>
      </c>
      <c r="H233" s="31" t="str">
        <f>_xlfn.IFNA(VLOOKUP(F233,'Look Table'!B$1:E$64,4,FALSE),"")</f>
        <v>IQ</v>
      </c>
      <c r="I233" s="41" t="s">
        <v>463</v>
      </c>
      <c r="J233" s="31" t="str">
        <f t="shared" si="3"/>
        <v>LAR_CAR</v>
      </c>
      <c r="K233" s="3" t="str">
        <f>J233&amp;"_"&amp;E233&amp;IF(ISNUMBER(SEARCH("PAS",G233)),"","_")&amp;(_xlfn.TEXTJOIN("_",TRUE,IF(G233 &lt;&gt; "PAS",G233:H233,""))&amp;(IF(Table1[[#This Row],[Sub-Area]]&lt;&gt;"",_xlfn.CONCAT("_",Table1[[#This Row],[Sub-Area]]),"")))</f>
        <v>LAR_CAR_APC_Aspen_IQ_North_iQDIB</v>
      </c>
      <c r="L233" s="32" t="str">
        <f>IF(I233 &lt;&gt; "",I233&amp;":\PAS\CBR\ProcessedFiles\"&amp;Table1[[#This Row],[Units]]&amp;"\"&amp;Table1[[#This Row],[Asset Type]]&amp;"\"&amp;K233,"")</f>
        <v>D:\PAS\CBR\ProcessedFiles\CAR\APC\LAR_CAR_APC_Aspen_IQ_North_iQDIB</v>
      </c>
      <c r="M233" s="33" t="str">
        <f>"MKDIR "&amp;Table1[[#This Row],[Suggested Folder Naming]]</f>
        <v>MKDIR D:\PAS\CBR\ProcessedFiles\CAR\APC\LAR_CAR_APC_Aspen_IQ_North_iQDIB</v>
      </c>
    </row>
    <row r="234" spans="1:13" x14ac:dyDescent="0.25">
      <c r="A234" s="21"/>
      <c r="B234" s="7" t="s">
        <v>584</v>
      </c>
      <c r="C234" s="8" t="s">
        <v>477</v>
      </c>
      <c r="D234" s="19" t="s">
        <v>153</v>
      </c>
      <c r="E234" s="30" t="s">
        <v>121</v>
      </c>
      <c r="F234" s="31" t="s">
        <v>151</v>
      </c>
      <c r="G234" s="31" t="str">
        <f>_xlfn.IFNA(VLOOKUP(F234,'Look Table'!B$1:E$64,3,FALSE),"")</f>
        <v>Aspen</v>
      </c>
      <c r="H234" s="31" t="str">
        <f>_xlfn.IFNA(VLOOKUP(F234,'Look Table'!B$1:E$64,4,FALSE),"")</f>
        <v>IQ</v>
      </c>
      <c r="I234" s="41" t="s">
        <v>463</v>
      </c>
      <c r="J234" s="31" t="str">
        <f t="shared" si="3"/>
        <v>LAR_CAR</v>
      </c>
      <c r="K234" s="3" t="str">
        <f>J234&amp;"_"&amp;E234&amp;IF(ISNUMBER(SEARCH("PAS",G234)),"","_")&amp;(_xlfn.TEXTJOIN("_",TRUE,IF(G234 &lt;&gt; "PAS",G234:H234,""))&amp;(IF(Table1[[#This Row],[Sub-Area]]&lt;&gt;"",_xlfn.CONCAT("_",Table1[[#This Row],[Sub-Area]]),"")))</f>
        <v>LAR_CAR_APC_Aspen_IQ_North_iqfcc</v>
      </c>
      <c r="L234" s="32" t="str">
        <f>IF(I234 &lt;&gt; "",I234&amp;":\PAS\CBR\ProcessedFiles\"&amp;Table1[[#This Row],[Units]]&amp;"\"&amp;Table1[[#This Row],[Asset Type]]&amp;"\"&amp;K234,"")</f>
        <v>D:\PAS\CBR\ProcessedFiles\CAR\APC\LAR_CAR_APC_Aspen_IQ_North_iqfcc</v>
      </c>
      <c r="M234" s="33" t="str">
        <f>"MKDIR "&amp;Table1[[#This Row],[Suggested Folder Naming]]</f>
        <v>MKDIR D:\PAS\CBR\ProcessedFiles\CAR\APC\LAR_CAR_APC_Aspen_IQ_North_iqfcc</v>
      </c>
    </row>
    <row r="235" spans="1:13" x14ac:dyDescent="0.25">
      <c r="A235" s="21"/>
      <c r="B235" s="7" t="s">
        <v>584</v>
      </c>
      <c r="C235" s="8" t="s">
        <v>477</v>
      </c>
      <c r="D235" s="19" t="s">
        <v>154</v>
      </c>
      <c r="E235" s="30" t="s">
        <v>121</v>
      </c>
      <c r="F235" s="31" t="s">
        <v>151</v>
      </c>
      <c r="G235" s="31" t="str">
        <f>_xlfn.IFNA(VLOOKUP(F235,'Look Table'!B$1:E$64,3,FALSE),"")</f>
        <v>Aspen</v>
      </c>
      <c r="H235" s="31" t="str">
        <f>_xlfn.IFNA(VLOOKUP(F235,'Look Table'!B$1:E$64,4,FALSE),"")</f>
        <v>IQ</v>
      </c>
      <c r="I235" s="41" t="s">
        <v>463</v>
      </c>
      <c r="J235" s="31" t="str">
        <f t="shared" si="3"/>
        <v>LAR_CAR</v>
      </c>
      <c r="K235" s="3" t="str">
        <f>J235&amp;"_"&amp;E235&amp;IF(ISNUMBER(SEARCH("PAS",G235)),"","_")&amp;(_xlfn.TEXTJOIN("_",TRUE,IF(G235 &lt;&gt; "PAS",G235:H235,""))&amp;(IF(Table1[[#This Row],[Sub-Area]]&lt;&gt;"",_xlfn.CONCAT("_",Table1[[#This Row],[Sub-Area]]),"")))</f>
        <v>LAR_CAR_APC_Aspen_IQ_North_iqfcc1deprop</v>
      </c>
      <c r="L235" s="32" t="str">
        <f>IF(I235 &lt;&gt; "",I235&amp;":\PAS\CBR\ProcessedFiles\"&amp;Table1[[#This Row],[Units]]&amp;"\"&amp;Table1[[#This Row],[Asset Type]]&amp;"\"&amp;K235,"")</f>
        <v>D:\PAS\CBR\ProcessedFiles\CAR\APC\LAR_CAR_APC_Aspen_IQ_North_iqfcc1deprop</v>
      </c>
      <c r="M235" s="33" t="str">
        <f>"MKDIR "&amp;Table1[[#This Row],[Suggested Folder Naming]]</f>
        <v>MKDIR D:\PAS\CBR\ProcessedFiles\CAR\APC\LAR_CAR_APC_Aspen_IQ_North_iqfcc1deprop</v>
      </c>
    </row>
    <row r="236" spans="1:13" x14ac:dyDescent="0.25">
      <c r="A236" s="21"/>
      <c r="B236" s="7" t="s">
        <v>584</v>
      </c>
      <c r="C236" s="8" t="s">
        <v>477</v>
      </c>
      <c r="D236" s="19" t="s">
        <v>155</v>
      </c>
      <c r="E236" s="30" t="s">
        <v>121</v>
      </c>
      <c r="F236" s="31" t="s">
        <v>151</v>
      </c>
      <c r="G236" s="31" t="str">
        <f>_xlfn.IFNA(VLOOKUP(F236,'Look Table'!B$1:E$64,3,FALSE),"")</f>
        <v>Aspen</v>
      </c>
      <c r="H236" s="31" t="str">
        <f>_xlfn.IFNA(VLOOKUP(F236,'Look Table'!B$1:E$64,4,FALSE),"")</f>
        <v>IQ</v>
      </c>
      <c r="I236" s="41" t="s">
        <v>463</v>
      </c>
      <c r="J236" s="31" t="str">
        <f t="shared" si="3"/>
        <v>LAR_CAR</v>
      </c>
      <c r="K236" s="3" t="str">
        <f>J236&amp;"_"&amp;E236&amp;IF(ISNUMBER(SEARCH("PAS",G236)),"","_")&amp;(_xlfn.TEXTJOIN("_",TRUE,IF(G236 &lt;&gt; "PAS",G236:H236,""))&amp;(IF(Table1[[#This Row],[Sub-Area]]&lt;&gt;"",_xlfn.CONCAT("_",Table1[[#This Row],[Sub-Area]]),"")))</f>
        <v>LAR_CAR_APC_Aspen_IQ_North_iqfccdehex</v>
      </c>
      <c r="L236" s="32" t="str">
        <f>IF(I236 &lt;&gt; "",I236&amp;":\PAS\CBR\ProcessedFiles\"&amp;Table1[[#This Row],[Units]]&amp;"\"&amp;Table1[[#This Row],[Asset Type]]&amp;"\"&amp;K236,"")</f>
        <v>D:\PAS\CBR\ProcessedFiles\CAR\APC\LAR_CAR_APC_Aspen_IQ_North_iqfccdehex</v>
      </c>
      <c r="M236" s="33" t="str">
        <f>"MKDIR "&amp;Table1[[#This Row],[Suggested Folder Naming]]</f>
        <v>MKDIR D:\PAS\CBR\ProcessedFiles\CAR\APC\LAR_CAR_APC_Aspen_IQ_North_iqfccdehex</v>
      </c>
    </row>
    <row r="237" spans="1:13" x14ac:dyDescent="0.25">
      <c r="A237" s="21"/>
      <c r="B237" s="7" t="s">
        <v>584</v>
      </c>
      <c r="C237" s="8" t="s">
        <v>477</v>
      </c>
      <c r="D237" s="19" t="s">
        <v>156</v>
      </c>
      <c r="E237" s="30" t="s">
        <v>121</v>
      </c>
      <c r="F237" s="31" t="s">
        <v>151</v>
      </c>
      <c r="G237" s="31" t="str">
        <f>_xlfn.IFNA(VLOOKUP(F237,'Look Table'!B$1:E$64,3,FALSE),"")</f>
        <v>Aspen</v>
      </c>
      <c r="H237" s="31" t="str">
        <f>_xlfn.IFNA(VLOOKUP(F237,'Look Table'!B$1:E$64,4,FALSE),"")</f>
        <v>IQ</v>
      </c>
      <c r="I237" s="41" t="s">
        <v>463</v>
      </c>
      <c r="J237" s="31" t="str">
        <f t="shared" si="3"/>
        <v>LAR_CAR</v>
      </c>
      <c r="K237" s="3" t="str">
        <f>J237&amp;"_"&amp;E237&amp;IF(ISNUMBER(SEARCH("PAS",G237)),"","_")&amp;(_xlfn.TEXTJOIN("_",TRUE,IF(G237 &lt;&gt; "PAS",G237:H237,""))&amp;(IF(Table1[[#This Row],[Sub-Area]]&lt;&gt;"",_xlfn.CONCAT("_",Table1[[#This Row],[Sub-Area]]),"")))</f>
        <v>LAR_CAR_APC_Aspen_IQ_North_iqffhds</v>
      </c>
      <c r="L237" s="32" t="str">
        <f>IF(I237 &lt;&gt; "",I237&amp;":\PAS\CBR\ProcessedFiles\"&amp;Table1[[#This Row],[Units]]&amp;"\"&amp;Table1[[#This Row],[Asset Type]]&amp;"\"&amp;K237,"")</f>
        <v>D:\PAS\CBR\ProcessedFiles\CAR\APC\LAR_CAR_APC_Aspen_IQ_North_iqffhds</v>
      </c>
      <c r="M237" s="33" t="str">
        <f>"MKDIR "&amp;Table1[[#This Row],[Suggested Folder Naming]]</f>
        <v>MKDIR D:\PAS\CBR\ProcessedFiles\CAR\APC\LAR_CAR_APC_Aspen_IQ_North_iqffhds</v>
      </c>
    </row>
    <row r="238" spans="1:13" x14ac:dyDescent="0.25">
      <c r="A238" s="21"/>
      <c r="B238" s="7" t="s">
        <v>584</v>
      </c>
      <c r="C238" s="8" t="s">
        <v>477</v>
      </c>
      <c r="D238" s="19" t="s">
        <v>157</v>
      </c>
      <c r="E238" s="30" t="s">
        <v>121</v>
      </c>
      <c r="F238" s="31" t="s">
        <v>151</v>
      </c>
      <c r="G238" s="31" t="str">
        <f>_xlfn.IFNA(VLOOKUP(F238,'Look Table'!B$1:E$64,3,FALSE),"")</f>
        <v>Aspen</v>
      </c>
      <c r="H238" s="31" t="str">
        <f>_xlfn.IFNA(VLOOKUP(F238,'Look Table'!B$1:E$64,4,FALSE),"")</f>
        <v>IQ</v>
      </c>
      <c r="I238" s="41" t="s">
        <v>463</v>
      </c>
      <c r="J238" s="31" t="str">
        <f t="shared" si="3"/>
        <v>LAR_CAR</v>
      </c>
      <c r="K238" s="3" t="str">
        <f>J238&amp;"_"&amp;E238&amp;IF(ISNUMBER(SEARCH("PAS",G238)),"","_")&amp;(_xlfn.TEXTJOIN("_",TRUE,IF(G238 &lt;&gt; "PAS",G238:H238,""))&amp;(IF(Table1[[#This Row],[Sub-Area]]&lt;&gt;"",_xlfn.CONCAT("_",Table1[[#This Row],[Sub-Area]]),"")))</f>
        <v>LAR_CAR_APC_Aspen_IQ_North_iqgasplant</v>
      </c>
      <c r="L238" s="32" t="str">
        <f>IF(I238 &lt;&gt; "",I238&amp;":\PAS\CBR\ProcessedFiles\"&amp;Table1[[#This Row],[Units]]&amp;"\"&amp;Table1[[#This Row],[Asset Type]]&amp;"\"&amp;K238,"")</f>
        <v>D:\PAS\CBR\ProcessedFiles\CAR\APC\LAR_CAR_APC_Aspen_IQ_North_iqgasplant</v>
      </c>
      <c r="M238" s="33" t="str">
        <f>"MKDIR "&amp;Table1[[#This Row],[Suggested Folder Naming]]</f>
        <v>MKDIR D:\PAS\CBR\ProcessedFiles\CAR\APC\LAR_CAR_APC_Aspen_IQ_North_iqgasplant</v>
      </c>
    </row>
    <row r="239" spans="1:13" x14ac:dyDescent="0.25">
      <c r="A239" s="21"/>
      <c r="B239" s="7" t="s">
        <v>584</v>
      </c>
      <c r="C239" s="8" t="s">
        <v>477</v>
      </c>
      <c r="D239" s="19" t="s">
        <v>158</v>
      </c>
      <c r="E239" s="30" t="s">
        <v>121</v>
      </c>
      <c r="F239" s="31" t="s">
        <v>151</v>
      </c>
      <c r="G239" s="31" t="str">
        <f>_xlfn.IFNA(VLOOKUP(F239,'Look Table'!B$1:E$64,3,FALSE),"")</f>
        <v>Aspen</v>
      </c>
      <c r="H239" s="31" t="str">
        <f>_xlfn.IFNA(VLOOKUP(F239,'Look Table'!B$1:E$64,4,FALSE),"")</f>
        <v>IQ</v>
      </c>
      <c r="I239" s="41" t="s">
        <v>463</v>
      </c>
      <c r="J239" s="31" t="str">
        <f t="shared" si="3"/>
        <v>LAR_CAR</v>
      </c>
      <c r="K239" s="3" t="str">
        <f>J239&amp;"_"&amp;E239&amp;IF(ISNUMBER(SEARCH("PAS",G239)),"","_")&amp;(_xlfn.TEXTJOIN("_",TRUE,IF(G239 &lt;&gt; "PAS",G239:H239,""))&amp;(IF(Table1[[#This Row],[Sub-Area]]&lt;&gt;"",_xlfn.CONCAT("_",Table1[[#This Row],[Sub-Area]]),"")))</f>
        <v>LAR_CAR_APC_Aspen_IQ_North_iqhcu</v>
      </c>
      <c r="L239" s="32" t="str">
        <f>IF(I239 &lt;&gt; "",I239&amp;":\PAS\CBR\ProcessedFiles\"&amp;Table1[[#This Row],[Units]]&amp;"\"&amp;Table1[[#This Row],[Asset Type]]&amp;"\"&amp;K239,"")</f>
        <v>D:\PAS\CBR\ProcessedFiles\CAR\APC\LAR_CAR_APC_Aspen_IQ_North_iqhcu</v>
      </c>
      <c r="M239" s="33" t="str">
        <f>"MKDIR "&amp;Table1[[#This Row],[Suggested Folder Naming]]</f>
        <v>MKDIR D:\PAS\CBR\ProcessedFiles\CAR\APC\LAR_CAR_APC_Aspen_IQ_North_iqhcu</v>
      </c>
    </row>
    <row r="240" spans="1:13" x14ac:dyDescent="0.25">
      <c r="A240" s="21"/>
      <c r="B240" s="7" t="s">
        <v>584</v>
      </c>
      <c r="C240" s="8" t="s">
        <v>477</v>
      </c>
      <c r="D240" s="19" t="s">
        <v>159</v>
      </c>
      <c r="E240" s="30" t="s">
        <v>121</v>
      </c>
      <c r="F240" s="31" t="s">
        <v>151</v>
      </c>
      <c r="G240" s="31" t="str">
        <f>_xlfn.IFNA(VLOOKUP(F240,'Look Table'!B$1:E$64,3,FALSE),"")</f>
        <v>Aspen</v>
      </c>
      <c r="H240" s="31" t="str">
        <f>_xlfn.IFNA(VLOOKUP(F240,'Look Table'!B$1:E$64,4,FALSE),"")</f>
        <v>IQ</v>
      </c>
      <c r="I240" s="41" t="s">
        <v>463</v>
      </c>
      <c r="J240" s="31" t="str">
        <f t="shared" si="3"/>
        <v>LAR_CAR</v>
      </c>
      <c r="K240" s="3" t="str">
        <f>J240&amp;"_"&amp;E240&amp;IF(ISNUMBER(SEARCH("PAS",G240)),"","_")&amp;(_xlfn.TEXTJOIN("_",TRUE,IF(G240 &lt;&gt; "PAS",G240:H240,""))&amp;(IF(Table1[[#This Row],[Sub-Area]]&lt;&gt;"",_xlfn.CONCAT("_",Table1[[#This Row],[Sub-Area]]),"")))</f>
        <v>LAR_CAR_APC_Aspen_IQ_South_iqalky2</v>
      </c>
      <c r="L240" s="32" t="str">
        <f>IF(I240 &lt;&gt; "",I240&amp;":\PAS\CBR\ProcessedFiles\"&amp;Table1[[#This Row],[Units]]&amp;"\"&amp;Table1[[#This Row],[Asset Type]]&amp;"\"&amp;K240,"")</f>
        <v>D:\PAS\CBR\ProcessedFiles\CAR\APC\LAR_CAR_APC_Aspen_IQ_South_iqalky2</v>
      </c>
      <c r="M240" s="33" t="str">
        <f>"MKDIR "&amp;Table1[[#This Row],[Suggested Folder Naming]]</f>
        <v>MKDIR D:\PAS\CBR\ProcessedFiles\CAR\APC\LAR_CAR_APC_Aspen_IQ_South_iqalky2</v>
      </c>
    </row>
    <row r="241" spans="1:13" x14ac:dyDescent="0.25">
      <c r="A241" s="21"/>
      <c r="B241" s="7" t="s">
        <v>584</v>
      </c>
      <c r="C241" s="8" t="s">
        <v>477</v>
      </c>
      <c r="D241" s="19" t="s">
        <v>160</v>
      </c>
      <c r="E241" s="30" t="s">
        <v>121</v>
      </c>
      <c r="F241" s="31" t="s">
        <v>151</v>
      </c>
      <c r="G241" s="31" t="str">
        <f>_xlfn.IFNA(VLOOKUP(F241,'Look Table'!B$1:E$64,3,FALSE),"")</f>
        <v>Aspen</v>
      </c>
      <c r="H241" s="31" t="str">
        <f>_xlfn.IFNA(VLOOKUP(F241,'Look Table'!B$1:E$64,4,FALSE),"")</f>
        <v>IQ</v>
      </c>
      <c r="I241" s="41" t="s">
        <v>463</v>
      </c>
      <c r="J241" s="31" t="str">
        <f t="shared" si="3"/>
        <v>LAR_CAR</v>
      </c>
      <c r="K241" s="3" t="str">
        <f>J241&amp;"_"&amp;E241&amp;IF(ISNUMBER(SEARCH("PAS",G241)),"","_")&amp;(_xlfn.TEXTJOIN("_",TRUE,IF(G241 &lt;&gt; "PAS",G241:H241,""))&amp;(IF(Table1[[#This Row],[Sub-Area]]&lt;&gt;"",_xlfn.CONCAT("_",Table1[[#This Row],[Sub-Area]]),"")))</f>
        <v>LAR_CAR_APC_Aspen_IQ_South_iqalkyacid</v>
      </c>
      <c r="L241" s="32" t="str">
        <f>IF(I241 &lt;&gt; "",I241&amp;":\PAS\CBR\ProcessedFiles\"&amp;Table1[[#This Row],[Units]]&amp;"\"&amp;Table1[[#This Row],[Asset Type]]&amp;"\"&amp;K241,"")</f>
        <v>D:\PAS\CBR\ProcessedFiles\CAR\APC\LAR_CAR_APC_Aspen_IQ_South_iqalkyacid</v>
      </c>
      <c r="M241" s="33" t="str">
        <f>"MKDIR "&amp;Table1[[#This Row],[Suggested Folder Naming]]</f>
        <v>MKDIR D:\PAS\CBR\ProcessedFiles\CAR\APC\LAR_CAR_APC_Aspen_IQ_South_iqalkyacid</v>
      </c>
    </row>
    <row r="242" spans="1:13" x14ac:dyDescent="0.25">
      <c r="A242" s="21"/>
      <c r="B242" s="7" t="s">
        <v>584</v>
      </c>
      <c r="C242" s="8" t="s">
        <v>477</v>
      </c>
      <c r="D242" s="19" t="s">
        <v>161</v>
      </c>
      <c r="E242" s="30" t="s">
        <v>121</v>
      </c>
      <c r="F242" s="31" t="s">
        <v>151</v>
      </c>
      <c r="G242" s="31" t="str">
        <f>_xlfn.IFNA(VLOOKUP(F242,'Look Table'!B$1:E$64,3,FALSE),"")</f>
        <v>Aspen</v>
      </c>
      <c r="H242" s="31" t="str">
        <f>_xlfn.IFNA(VLOOKUP(F242,'Look Table'!B$1:E$64,4,FALSE),"")</f>
        <v>IQ</v>
      </c>
      <c r="I242" s="41" t="s">
        <v>463</v>
      </c>
      <c r="J242" s="31" t="str">
        <f t="shared" si="3"/>
        <v>LAR_CAR</v>
      </c>
      <c r="K242" s="3" t="str">
        <f>J242&amp;"_"&amp;E242&amp;IF(ISNUMBER(SEARCH("PAS",G242)),"","_")&amp;(_xlfn.TEXTJOIN("_",TRUE,IF(G242 &lt;&gt; "PAS",G242:H242,""))&amp;(IF(Table1[[#This Row],[Sub-Area]]&lt;&gt;"",_xlfn.CONCAT("_",Table1[[#This Row],[Sub-Area]]),"")))</f>
        <v>LAR_CAR_APC_Aspen_IQ_South_iqalkyacidc</v>
      </c>
      <c r="L242" s="32" t="str">
        <f>IF(I242 &lt;&gt; "",I242&amp;":\PAS\CBR\ProcessedFiles\"&amp;Table1[[#This Row],[Units]]&amp;"\"&amp;Table1[[#This Row],[Asset Type]]&amp;"\"&amp;K242,"")</f>
        <v>D:\PAS\CBR\ProcessedFiles\CAR\APC\LAR_CAR_APC_Aspen_IQ_South_iqalkyacidc</v>
      </c>
      <c r="M242" s="33" t="str">
        <f>"MKDIR "&amp;Table1[[#This Row],[Suggested Folder Naming]]</f>
        <v>MKDIR D:\PAS\CBR\ProcessedFiles\CAR\APC\LAR_CAR_APC_Aspen_IQ_South_iqalkyacidc</v>
      </c>
    </row>
    <row r="243" spans="1:13" x14ac:dyDescent="0.25">
      <c r="A243" s="21"/>
      <c r="B243" s="7" t="s">
        <v>584</v>
      </c>
      <c r="C243" s="8" t="s">
        <v>477</v>
      </c>
      <c r="D243" s="19" t="s">
        <v>162</v>
      </c>
      <c r="E243" s="30" t="s">
        <v>121</v>
      </c>
      <c r="F243" s="31" t="s">
        <v>151</v>
      </c>
      <c r="G243" s="31" t="str">
        <f>_xlfn.IFNA(VLOOKUP(F243,'Look Table'!B$1:E$64,3,FALSE),"")</f>
        <v>Aspen</v>
      </c>
      <c r="H243" s="31" t="str">
        <f>_xlfn.IFNA(VLOOKUP(F243,'Look Table'!B$1:E$64,4,FALSE),"")</f>
        <v>IQ</v>
      </c>
      <c r="I243" s="41" t="s">
        <v>463</v>
      </c>
      <c r="J243" s="31" t="str">
        <f t="shared" si="3"/>
        <v>LAR_CAR</v>
      </c>
      <c r="K243" s="3" t="str">
        <f>J243&amp;"_"&amp;E243&amp;IF(ISNUMBER(SEARCH("PAS",G243)),"","_")&amp;(_xlfn.TEXTJOIN("_",TRUE,IF(G243 &lt;&gt; "PAS",G243:H243,""))&amp;(IF(Table1[[#This Row],[Sub-Area]]&lt;&gt;"",_xlfn.CONCAT("_",Table1[[#This Row],[Sub-Area]]),"")))</f>
        <v>LAR_CAR_APC_Aspen_IQ_South_iqC3splitter</v>
      </c>
      <c r="L243" s="32" t="str">
        <f>IF(I243 &lt;&gt; "",I243&amp;":\PAS\CBR\ProcessedFiles\"&amp;Table1[[#This Row],[Units]]&amp;"\"&amp;Table1[[#This Row],[Asset Type]]&amp;"\"&amp;K243,"")</f>
        <v>D:\PAS\CBR\ProcessedFiles\CAR\APC\LAR_CAR_APC_Aspen_IQ_South_iqC3splitter</v>
      </c>
      <c r="M243" s="33" t="str">
        <f>"MKDIR "&amp;Table1[[#This Row],[Suggested Folder Naming]]</f>
        <v>MKDIR D:\PAS\CBR\ProcessedFiles\CAR\APC\LAR_CAR_APC_Aspen_IQ_South_iqC3splitter</v>
      </c>
    </row>
    <row r="244" spans="1:13" x14ac:dyDescent="0.25">
      <c r="A244" s="21"/>
      <c r="B244" s="7" t="s">
        <v>584</v>
      </c>
      <c r="C244" s="8" t="s">
        <v>477</v>
      </c>
      <c r="D244" s="19" t="s">
        <v>163</v>
      </c>
      <c r="E244" s="30" t="s">
        <v>121</v>
      </c>
      <c r="F244" s="31" t="s">
        <v>151</v>
      </c>
      <c r="G244" s="31" t="str">
        <f>_xlfn.IFNA(VLOOKUP(F244,'Look Table'!B$1:E$64,3,FALSE),"")</f>
        <v>Aspen</v>
      </c>
      <c r="H244" s="31" t="str">
        <f>_xlfn.IFNA(VLOOKUP(F244,'Look Table'!B$1:E$64,4,FALSE),"")</f>
        <v>IQ</v>
      </c>
      <c r="I244" s="41" t="s">
        <v>463</v>
      </c>
      <c r="J244" s="31" t="str">
        <f t="shared" si="3"/>
        <v>LAR_CAR</v>
      </c>
      <c r="K244" s="3" t="str">
        <f>J244&amp;"_"&amp;E244&amp;IF(ISNUMBER(SEARCH("PAS",G244)),"","_")&amp;(_xlfn.TEXTJOIN("_",TRUE,IF(G244 &lt;&gt; "PAS",G244:H244,""))&amp;(IF(Table1[[#This Row],[Sub-Area]]&lt;&gt;"",_xlfn.CONCAT("_",Table1[[#This Row],[Sub-Area]]),"")))</f>
        <v>LAR_CAR_APC_Aspen_IQ_South_iqcoker1</v>
      </c>
      <c r="L244" s="32" t="str">
        <f>IF(I244 &lt;&gt; "",I244&amp;":\PAS\CBR\ProcessedFiles\"&amp;Table1[[#This Row],[Units]]&amp;"\"&amp;Table1[[#This Row],[Asset Type]]&amp;"\"&amp;K244,"")</f>
        <v>D:\PAS\CBR\ProcessedFiles\CAR\APC\LAR_CAR_APC_Aspen_IQ_South_iqcoker1</v>
      </c>
      <c r="M244" s="33" t="str">
        <f>"MKDIR "&amp;Table1[[#This Row],[Suggested Folder Naming]]</f>
        <v>MKDIR D:\PAS\CBR\ProcessedFiles\CAR\APC\LAR_CAR_APC_Aspen_IQ_South_iqcoker1</v>
      </c>
    </row>
    <row r="245" spans="1:13" x14ac:dyDescent="0.25">
      <c r="A245" s="21"/>
      <c r="B245" s="7" t="s">
        <v>584</v>
      </c>
      <c r="C245" s="8" t="s">
        <v>477</v>
      </c>
      <c r="D245" s="19" t="s">
        <v>164</v>
      </c>
      <c r="E245" s="30" t="s">
        <v>121</v>
      </c>
      <c r="F245" s="31" t="s">
        <v>151</v>
      </c>
      <c r="G245" s="31" t="str">
        <f>_xlfn.IFNA(VLOOKUP(F245,'Look Table'!B$1:E$64,3,FALSE),"")</f>
        <v>Aspen</v>
      </c>
      <c r="H245" s="31" t="str">
        <f>_xlfn.IFNA(VLOOKUP(F245,'Look Table'!B$1:E$64,4,FALSE),"")</f>
        <v>IQ</v>
      </c>
      <c r="I245" s="41" t="s">
        <v>463</v>
      </c>
      <c r="J245" s="31" t="str">
        <f t="shared" si="3"/>
        <v>LAR_CAR</v>
      </c>
      <c r="K245" s="3" t="str">
        <f>J245&amp;"_"&amp;E245&amp;IF(ISNUMBER(SEARCH("PAS",G245)),"","_")&amp;(_xlfn.TEXTJOIN("_",TRUE,IF(G245 &lt;&gt; "PAS",G245:H245,""))&amp;(IF(Table1[[#This Row],[Sub-Area]]&lt;&gt;"",_xlfn.CONCAT("_",Table1[[#This Row],[Sub-Area]]),"")))</f>
        <v>LAR_CAR_APC_Aspen_IQ_South_iqcoker2</v>
      </c>
      <c r="L245" s="32" t="str">
        <f>IF(I245 &lt;&gt; "",I245&amp;":\PAS\CBR\ProcessedFiles\"&amp;Table1[[#This Row],[Units]]&amp;"\"&amp;Table1[[#This Row],[Asset Type]]&amp;"\"&amp;K245,"")</f>
        <v>D:\PAS\CBR\ProcessedFiles\CAR\APC\LAR_CAR_APC_Aspen_IQ_South_iqcoker2</v>
      </c>
      <c r="M245" s="33" t="str">
        <f>"MKDIR "&amp;Table1[[#This Row],[Suggested Folder Naming]]</f>
        <v>MKDIR D:\PAS\CBR\ProcessedFiles\CAR\APC\LAR_CAR_APC_Aspen_IQ_South_iqcoker2</v>
      </c>
    </row>
    <row r="246" spans="1:13" x14ac:dyDescent="0.25">
      <c r="A246" s="21"/>
      <c r="B246" s="7" t="s">
        <v>584</v>
      </c>
      <c r="C246" s="8" t="s">
        <v>477</v>
      </c>
      <c r="D246" s="19" t="s">
        <v>165</v>
      </c>
      <c r="E246" s="30" t="s">
        <v>121</v>
      </c>
      <c r="F246" s="31" t="s">
        <v>151</v>
      </c>
      <c r="G246" s="31" t="str">
        <f>_xlfn.IFNA(VLOOKUP(F246,'Look Table'!B$1:E$64,3,FALSE),"")</f>
        <v>Aspen</v>
      </c>
      <c r="H246" s="31" t="str">
        <f>_xlfn.IFNA(VLOOKUP(F246,'Look Table'!B$1:E$64,4,FALSE),"")</f>
        <v>IQ</v>
      </c>
      <c r="I246" s="41" t="s">
        <v>463</v>
      </c>
      <c r="J246" s="31" t="str">
        <f t="shared" si="3"/>
        <v>LAR_CAR</v>
      </c>
      <c r="K246" s="3" t="str">
        <f>J246&amp;"_"&amp;E246&amp;IF(ISNUMBER(SEARCH("PAS",G246)),"","_")&amp;(_xlfn.TEXTJOIN("_",TRUE,IF(G246 &lt;&gt; "PAS",G246:H246,""))&amp;(IF(Table1[[#This Row],[Sub-Area]]&lt;&gt;"",_xlfn.CONCAT("_",Table1[[#This Row],[Sub-Area]]),"")))</f>
        <v>LAR_CAR_APC_Aspen_IQ_South_iqcrude1</v>
      </c>
      <c r="L246" s="32" t="str">
        <f>IF(I246 &lt;&gt; "",I246&amp;":\PAS\CBR\ProcessedFiles\"&amp;Table1[[#This Row],[Units]]&amp;"\"&amp;Table1[[#This Row],[Asset Type]]&amp;"\"&amp;K246,"")</f>
        <v>D:\PAS\CBR\ProcessedFiles\CAR\APC\LAR_CAR_APC_Aspen_IQ_South_iqcrude1</v>
      </c>
      <c r="M246" s="33" t="str">
        <f>"MKDIR "&amp;Table1[[#This Row],[Suggested Folder Naming]]</f>
        <v>MKDIR D:\PAS\CBR\ProcessedFiles\CAR\APC\LAR_CAR_APC_Aspen_IQ_South_iqcrude1</v>
      </c>
    </row>
    <row r="247" spans="1:13" x14ac:dyDescent="0.25">
      <c r="A247" s="21"/>
      <c r="B247" s="7" t="s">
        <v>584</v>
      </c>
      <c r="C247" s="8" t="s">
        <v>477</v>
      </c>
      <c r="D247" s="19" t="s">
        <v>166</v>
      </c>
      <c r="E247" s="30" t="s">
        <v>121</v>
      </c>
      <c r="F247" s="31" t="s">
        <v>151</v>
      </c>
      <c r="G247" s="31" t="str">
        <f>_xlfn.IFNA(VLOOKUP(F247,'Look Table'!B$1:E$64,3,FALSE),"")</f>
        <v>Aspen</v>
      </c>
      <c r="H247" s="31" t="str">
        <f>_xlfn.IFNA(VLOOKUP(F247,'Look Table'!B$1:E$64,4,FALSE),"")</f>
        <v>IQ</v>
      </c>
      <c r="I247" s="41" t="s">
        <v>463</v>
      </c>
      <c r="J247" s="31" t="str">
        <f t="shared" si="3"/>
        <v>LAR_CAR</v>
      </c>
      <c r="K247" s="3" t="str">
        <f>J247&amp;"_"&amp;E247&amp;IF(ISNUMBER(SEARCH("PAS",G247)),"","_")&amp;(_xlfn.TEXTJOIN("_",TRUE,IF(G247 &lt;&gt; "PAS",G247:H247,""))&amp;(IF(Table1[[#This Row],[Sub-Area]]&lt;&gt;"",_xlfn.CONCAT("_",Table1[[#This Row],[Sub-Area]]),"")))</f>
        <v>LAR_CAR_APC_Aspen_IQ_South_iqcrude2</v>
      </c>
      <c r="L247" s="32" t="str">
        <f>IF(I247 &lt;&gt; "",I247&amp;":\PAS\CBR\ProcessedFiles\"&amp;Table1[[#This Row],[Units]]&amp;"\"&amp;Table1[[#This Row],[Asset Type]]&amp;"\"&amp;K247,"")</f>
        <v>D:\PAS\CBR\ProcessedFiles\CAR\APC\LAR_CAR_APC_Aspen_IQ_South_iqcrude2</v>
      </c>
      <c r="M247" s="33" t="str">
        <f>"MKDIR "&amp;Table1[[#This Row],[Suggested Folder Naming]]</f>
        <v>MKDIR D:\PAS\CBR\ProcessedFiles\CAR\APC\LAR_CAR_APC_Aspen_IQ_South_iqcrude2</v>
      </c>
    </row>
    <row r="248" spans="1:13" x14ac:dyDescent="0.25">
      <c r="A248" s="21"/>
      <c r="B248" s="7" t="s">
        <v>584</v>
      </c>
      <c r="C248" s="8" t="s">
        <v>477</v>
      </c>
      <c r="D248" s="19" t="s">
        <v>167</v>
      </c>
      <c r="E248" s="30" t="s">
        <v>121</v>
      </c>
      <c r="F248" s="31" t="s">
        <v>151</v>
      </c>
      <c r="G248" s="31" t="str">
        <f>_xlfn.IFNA(VLOOKUP(F248,'Look Table'!B$1:E$64,3,FALSE),"")</f>
        <v>Aspen</v>
      </c>
      <c r="H248" s="31" t="str">
        <f>_xlfn.IFNA(VLOOKUP(F248,'Look Table'!B$1:E$64,4,FALSE),"")</f>
        <v>IQ</v>
      </c>
      <c r="I248" s="41" t="s">
        <v>463</v>
      </c>
      <c r="J248" s="31" t="str">
        <f t="shared" si="3"/>
        <v>LAR_CAR</v>
      </c>
      <c r="K248" s="3" t="str">
        <f>J248&amp;"_"&amp;E248&amp;IF(ISNUMBER(SEARCH("PAS",G248)),"","_")&amp;(_xlfn.TEXTJOIN("_",TRUE,IF(G248 &lt;&gt; "PAS",G248:H248,""))&amp;(IF(Table1[[#This Row],[Sub-Area]]&lt;&gt;"",_xlfn.CONCAT("_",Table1[[#This Row],[Sub-Area]]),"")))</f>
        <v>LAR_CAR_APC_Aspen_IQ_South_iqcrude4</v>
      </c>
      <c r="L248" s="32" t="str">
        <f>IF(I248 &lt;&gt; "",I248&amp;":\PAS\CBR\ProcessedFiles\"&amp;Table1[[#This Row],[Units]]&amp;"\"&amp;Table1[[#This Row],[Asset Type]]&amp;"\"&amp;K248,"")</f>
        <v>D:\PAS\CBR\ProcessedFiles\CAR\APC\LAR_CAR_APC_Aspen_IQ_South_iqcrude4</v>
      </c>
      <c r="M248" s="33" t="str">
        <f>"MKDIR "&amp;Table1[[#This Row],[Suggested Folder Naming]]</f>
        <v>MKDIR D:\PAS\CBR\ProcessedFiles\CAR\APC\LAR_CAR_APC_Aspen_IQ_South_iqcrude4</v>
      </c>
    </row>
    <row r="249" spans="1:13" x14ac:dyDescent="0.25">
      <c r="A249" s="21"/>
      <c r="B249" s="7" t="s">
        <v>584</v>
      </c>
      <c r="C249" s="8" t="s">
        <v>477</v>
      </c>
      <c r="D249" s="19" t="s">
        <v>168</v>
      </c>
      <c r="E249" s="30" t="s">
        <v>121</v>
      </c>
      <c r="F249" s="31" t="s">
        <v>151</v>
      </c>
      <c r="G249" s="31" t="str">
        <f>_xlfn.IFNA(VLOOKUP(F249,'Look Table'!B$1:E$64,3,FALSE),"")</f>
        <v>Aspen</v>
      </c>
      <c r="H249" s="31" t="str">
        <f>_xlfn.IFNA(VLOOKUP(F249,'Look Table'!B$1:E$64,4,FALSE),"")</f>
        <v>IQ</v>
      </c>
      <c r="I249" s="41" t="s">
        <v>463</v>
      </c>
      <c r="J249" s="31" t="str">
        <f t="shared" si="3"/>
        <v>LAR_CAR</v>
      </c>
      <c r="K249" s="3" t="str">
        <f>J249&amp;"_"&amp;E249&amp;IF(ISNUMBER(SEARCH("PAS",G249)),"","_")&amp;(_xlfn.TEXTJOIN("_",TRUE,IF(G249 &lt;&gt; "PAS",G249:H249,""))&amp;(IF(Table1[[#This Row],[Sub-Area]]&lt;&gt;"",_xlfn.CONCAT("_",Table1[[#This Row],[Sub-Area]]),"")))</f>
        <v>LAR_CAR_APC_Aspen_IQ_South_iqcrudefrz</v>
      </c>
      <c r="L249" s="32" t="str">
        <f>IF(I249 &lt;&gt; "",I249&amp;":\PAS\CBR\ProcessedFiles\"&amp;Table1[[#This Row],[Units]]&amp;"\"&amp;Table1[[#This Row],[Asset Type]]&amp;"\"&amp;K249,"")</f>
        <v>D:\PAS\CBR\ProcessedFiles\CAR\APC\LAR_CAR_APC_Aspen_IQ_South_iqcrudefrz</v>
      </c>
      <c r="M249" s="33" t="str">
        <f>"MKDIR "&amp;Table1[[#This Row],[Suggested Folder Naming]]</f>
        <v>MKDIR D:\PAS\CBR\ProcessedFiles\CAR\APC\LAR_CAR_APC_Aspen_IQ_South_iqcrudefrz</v>
      </c>
    </row>
    <row r="250" spans="1:13" x14ac:dyDescent="0.25">
      <c r="A250" s="21"/>
      <c r="B250" s="7" t="s">
        <v>584</v>
      </c>
      <c r="C250" s="8" t="s">
        <v>477</v>
      </c>
      <c r="D250" s="19" t="s">
        <v>169</v>
      </c>
      <c r="E250" s="30" t="s">
        <v>121</v>
      </c>
      <c r="F250" s="31" t="s">
        <v>151</v>
      </c>
      <c r="G250" s="31" t="str">
        <f>_xlfn.IFNA(VLOOKUP(F250,'Look Table'!B$1:E$64,3,FALSE),"")</f>
        <v>Aspen</v>
      </c>
      <c r="H250" s="31" t="str">
        <f>_xlfn.IFNA(VLOOKUP(F250,'Look Table'!B$1:E$64,4,FALSE),"")</f>
        <v>IQ</v>
      </c>
      <c r="I250" s="41" t="s">
        <v>463</v>
      </c>
      <c r="J250" s="31" t="str">
        <f t="shared" si="3"/>
        <v>LAR_CAR</v>
      </c>
      <c r="K250" s="3" t="str">
        <f>J250&amp;"_"&amp;E250&amp;IF(ISNUMBER(SEARCH("PAS",G250)),"","_")&amp;(_xlfn.TEXTJOIN("_",TRUE,IF(G250 &lt;&gt; "PAS",G250:H250,""))&amp;(IF(Table1[[#This Row],[Sub-Area]]&lt;&gt;"",_xlfn.CONCAT("_",Table1[[#This Row],[Sub-Area]]),"")))</f>
        <v>LAR_CAR_APC_Aspen_IQ_South_iqdehex1</v>
      </c>
      <c r="L250" s="32" t="str">
        <f>IF(I250 &lt;&gt; "",I250&amp;":\PAS\CBR\ProcessedFiles\"&amp;Table1[[#This Row],[Units]]&amp;"\"&amp;Table1[[#This Row],[Asset Type]]&amp;"\"&amp;K250,"")</f>
        <v>D:\PAS\CBR\ProcessedFiles\CAR\APC\LAR_CAR_APC_Aspen_IQ_South_iqdehex1</v>
      </c>
      <c r="M250" s="33" t="str">
        <f>"MKDIR "&amp;Table1[[#This Row],[Suggested Folder Naming]]</f>
        <v>MKDIR D:\PAS\CBR\ProcessedFiles\CAR\APC\LAR_CAR_APC_Aspen_IQ_South_iqdehex1</v>
      </c>
    </row>
    <row r="251" spans="1:13" x14ac:dyDescent="0.25">
      <c r="A251" s="21"/>
      <c r="B251" s="7" t="s">
        <v>584</v>
      </c>
      <c r="C251" s="8" t="s">
        <v>477</v>
      </c>
      <c r="D251" s="19" t="s">
        <v>170</v>
      </c>
      <c r="E251" s="30" t="s">
        <v>121</v>
      </c>
      <c r="F251" s="31" t="s">
        <v>151</v>
      </c>
      <c r="G251" s="31" t="str">
        <f>_xlfn.IFNA(VLOOKUP(F251,'Look Table'!B$1:E$64,3,FALSE),"")</f>
        <v>Aspen</v>
      </c>
      <c r="H251" s="31" t="str">
        <f>_xlfn.IFNA(VLOOKUP(F251,'Look Table'!B$1:E$64,4,FALSE),"")</f>
        <v>IQ</v>
      </c>
      <c r="I251" s="41" t="s">
        <v>463</v>
      </c>
      <c r="J251" s="31" t="str">
        <f t="shared" si="3"/>
        <v>LAR_CAR</v>
      </c>
      <c r="K251" s="3" t="str">
        <f>J251&amp;"_"&amp;E251&amp;IF(ISNUMBER(SEARCH("PAS",G251)),"","_")&amp;(_xlfn.TEXTJOIN("_",TRUE,IF(G251 &lt;&gt; "PAS",G251:H251,""))&amp;(IF(Table1[[#This Row],[Sub-Area]]&lt;&gt;"",_xlfn.CONCAT("_",Table1[[#This Row],[Sub-Area]]),"")))</f>
        <v>LAR_CAR_APC_Aspen_IQ_South_iqdehex2</v>
      </c>
      <c r="L251" s="32" t="str">
        <f>IF(I251 &lt;&gt; "",I251&amp;":\PAS\CBR\ProcessedFiles\"&amp;Table1[[#This Row],[Units]]&amp;"\"&amp;Table1[[#This Row],[Asset Type]]&amp;"\"&amp;K251,"")</f>
        <v>D:\PAS\CBR\ProcessedFiles\CAR\APC\LAR_CAR_APC_Aspen_IQ_South_iqdehex2</v>
      </c>
      <c r="M251" s="33" t="str">
        <f>"MKDIR "&amp;Table1[[#This Row],[Suggested Folder Naming]]</f>
        <v>MKDIR D:\PAS\CBR\ProcessedFiles\CAR\APC\LAR_CAR_APC_Aspen_IQ_South_iqdehex2</v>
      </c>
    </row>
    <row r="252" spans="1:13" x14ac:dyDescent="0.25">
      <c r="A252" s="21"/>
      <c r="B252" s="7" t="s">
        <v>584</v>
      </c>
      <c r="C252" s="8" t="s">
        <v>477</v>
      </c>
      <c r="D252" s="19" t="s">
        <v>171</v>
      </c>
      <c r="E252" s="30" t="s">
        <v>121</v>
      </c>
      <c r="F252" s="31" t="s">
        <v>151</v>
      </c>
      <c r="G252" s="31" t="str">
        <f>_xlfn.IFNA(VLOOKUP(F252,'Look Table'!B$1:E$64,3,FALSE),"")</f>
        <v>Aspen</v>
      </c>
      <c r="H252" s="31" t="str">
        <f>_xlfn.IFNA(VLOOKUP(F252,'Look Table'!B$1:E$64,4,FALSE),"")</f>
        <v>IQ</v>
      </c>
      <c r="I252" s="41" t="s">
        <v>463</v>
      </c>
      <c r="J252" s="31" t="str">
        <f t="shared" si="3"/>
        <v>LAR_CAR</v>
      </c>
      <c r="K252" s="3" t="str">
        <f>J252&amp;"_"&amp;E252&amp;IF(ISNUMBER(SEARCH("PAS",G252)),"","_")&amp;(_xlfn.TEXTJOIN("_",TRUE,IF(G252 &lt;&gt; "PAS",G252:H252,""))&amp;(IF(Table1[[#This Row],[Sub-Area]]&lt;&gt;"",_xlfn.CONCAT("_",Table1[[#This Row],[Sub-Area]]),"")))</f>
        <v>LAR_CAR_APC_Aspen_IQ_South_iqjetflash</v>
      </c>
      <c r="L252" s="32" t="str">
        <f>IF(I252 &lt;&gt; "",I252&amp;":\PAS\CBR\ProcessedFiles\"&amp;Table1[[#This Row],[Units]]&amp;"\"&amp;Table1[[#This Row],[Asset Type]]&amp;"\"&amp;K252,"")</f>
        <v>D:\PAS\CBR\ProcessedFiles\CAR\APC\LAR_CAR_APC_Aspen_IQ_South_iqjetflash</v>
      </c>
      <c r="M252" s="33" t="str">
        <f>"MKDIR "&amp;Table1[[#This Row],[Suggested Folder Naming]]</f>
        <v>MKDIR D:\PAS\CBR\ProcessedFiles\CAR\APC\LAR_CAR_APC_Aspen_IQ_South_iqjetflash</v>
      </c>
    </row>
    <row r="253" spans="1:13" x14ac:dyDescent="0.25">
      <c r="A253" s="21"/>
      <c r="B253" s="7" t="s">
        <v>584</v>
      </c>
      <c r="C253" s="8" t="s">
        <v>477</v>
      </c>
      <c r="D253" s="19" t="s">
        <v>172</v>
      </c>
      <c r="E253" s="30" t="s">
        <v>121</v>
      </c>
      <c r="F253" s="31" t="s">
        <v>151</v>
      </c>
      <c r="G253" s="31" t="str">
        <f>_xlfn.IFNA(VLOOKUP(F253,'Look Table'!B$1:E$64,3,FALSE),"")</f>
        <v>Aspen</v>
      </c>
      <c r="H253" s="31" t="str">
        <f>_xlfn.IFNA(VLOOKUP(F253,'Look Table'!B$1:E$64,4,FALSE),"")</f>
        <v>IQ</v>
      </c>
      <c r="I253" s="41" t="s">
        <v>463</v>
      </c>
      <c r="J253" s="31" t="str">
        <f t="shared" si="3"/>
        <v>LAR_CAR</v>
      </c>
      <c r="K253" s="3" t="str">
        <f>J253&amp;"_"&amp;E253&amp;IF(ISNUMBER(SEARCH("PAS",G253)),"","_")&amp;(_xlfn.TEXTJOIN("_",TRUE,IF(G253 &lt;&gt; "PAS",G253:H253,""))&amp;(IF(Table1[[#This Row],[Sub-Area]]&lt;&gt;"",_xlfn.CONCAT("_",Table1[[#This Row],[Sub-Area]]),"")))</f>
        <v>LAR_CAR_APC_Aspen_IQ_South_iqnapspl</v>
      </c>
      <c r="L253" s="32" t="str">
        <f>IF(I253 &lt;&gt; "",I253&amp;":\PAS\CBR\ProcessedFiles\"&amp;Table1[[#This Row],[Units]]&amp;"\"&amp;Table1[[#This Row],[Asset Type]]&amp;"\"&amp;K253,"")</f>
        <v>D:\PAS\CBR\ProcessedFiles\CAR\APC\LAR_CAR_APC_Aspen_IQ_South_iqnapspl</v>
      </c>
      <c r="M253" s="33" t="str">
        <f>"MKDIR "&amp;Table1[[#This Row],[Suggested Folder Naming]]</f>
        <v>MKDIR D:\PAS\CBR\ProcessedFiles\CAR\APC\LAR_CAR_APC_Aspen_IQ_South_iqnapspl</v>
      </c>
    </row>
    <row r="254" spans="1:13" x14ac:dyDescent="0.25">
      <c r="A254" s="21"/>
      <c r="B254" s="7" t="s">
        <v>584</v>
      </c>
      <c r="C254" s="8" t="s">
        <v>475</v>
      </c>
      <c r="D254" s="19" t="s">
        <v>173</v>
      </c>
      <c r="E254" s="30" t="s">
        <v>121</v>
      </c>
      <c r="F254" s="31" t="s">
        <v>151</v>
      </c>
      <c r="G254" s="31" t="str">
        <f>_xlfn.IFNA(VLOOKUP(F254,'Look Table'!B$1:E$64,3,FALSE),"")</f>
        <v>Aspen</v>
      </c>
      <c r="H254" s="31" t="str">
        <f>_xlfn.IFNA(VLOOKUP(F254,'Look Table'!B$1:E$64,4,FALSE),"")</f>
        <v>IQ</v>
      </c>
      <c r="I254" s="41" t="s">
        <v>463</v>
      </c>
      <c r="J254" s="31" t="str">
        <f t="shared" si="3"/>
        <v>LAR_WIL</v>
      </c>
      <c r="K254" s="3" t="str">
        <f>J254&amp;"_"&amp;E254&amp;IF(ISNUMBER(SEARCH("PAS",G254)),"","_")&amp;(_xlfn.TEXTJOIN("_",TRUE,IF(G254 &lt;&gt; "PAS",G254:H254,""))&amp;(IF(Table1[[#This Row],[Sub-Area]]&lt;&gt;"",_xlfn.CONCAT("_",Table1[[#This Row],[Sub-Area]]),"")))</f>
        <v>LAR_WIL_APC_Aspen_IQ_IQ3CDU</v>
      </c>
      <c r="L254" s="32" t="str">
        <f>IF(I254 &lt;&gt; "",I254&amp;":\PAS\CBR\ProcessedFiles\"&amp;Table1[[#This Row],[Units]]&amp;"\"&amp;Table1[[#This Row],[Asset Type]]&amp;"\"&amp;K254,"")</f>
        <v>D:\PAS\CBR\ProcessedFiles\WIL\APC\LAR_WIL_APC_Aspen_IQ_IQ3CDU</v>
      </c>
      <c r="M254" s="33" t="str">
        <f>"MKDIR "&amp;Table1[[#This Row],[Suggested Folder Naming]]</f>
        <v>MKDIR D:\PAS\CBR\ProcessedFiles\WIL\APC\LAR_WIL_APC_Aspen_IQ_IQ3CDU</v>
      </c>
    </row>
    <row r="255" spans="1:13" x14ac:dyDescent="0.25">
      <c r="A255" s="21"/>
      <c r="B255" s="7" t="s">
        <v>584</v>
      </c>
      <c r="C255" s="8" t="s">
        <v>475</v>
      </c>
      <c r="D255" s="19" t="s">
        <v>174</v>
      </c>
      <c r="E255" s="30" t="s">
        <v>121</v>
      </c>
      <c r="F255" s="31" t="s">
        <v>151</v>
      </c>
      <c r="G255" s="31" t="str">
        <f>_xlfn.IFNA(VLOOKUP(F255,'Look Table'!B$1:E$64,3,FALSE),"")</f>
        <v>Aspen</v>
      </c>
      <c r="H255" s="31" t="str">
        <f>_xlfn.IFNA(VLOOKUP(F255,'Look Table'!B$1:E$64,4,FALSE),"")</f>
        <v>IQ</v>
      </c>
      <c r="I255" s="41" t="s">
        <v>463</v>
      </c>
      <c r="J255" s="31" t="str">
        <f t="shared" si="3"/>
        <v>LAR_WIL</v>
      </c>
      <c r="K255" s="3" t="str">
        <f>J255&amp;"_"&amp;E255&amp;IF(ISNUMBER(SEARCH("PAS",G255)),"","_")&amp;(_xlfn.TEXTJOIN("_",TRUE,IF(G255 &lt;&gt; "PAS",G255:H255,""))&amp;(IF(Table1[[#This Row],[Sub-Area]]&lt;&gt;"",_xlfn.CONCAT("_",Table1[[#This Row],[Sub-Area]]),"")))</f>
        <v>LAR_WIL_APC_Aspen_IQ_IQ42CRU2</v>
      </c>
      <c r="L255" s="32" t="str">
        <f>IF(I255 &lt;&gt; "",I255&amp;":\PAS\CBR\ProcessedFiles\"&amp;Table1[[#This Row],[Units]]&amp;"\"&amp;Table1[[#This Row],[Asset Type]]&amp;"\"&amp;K255,"")</f>
        <v>D:\PAS\CBR\ProcessedFiles\WIL\APC\LAR_WIL_APC_Aspen_IQ_IQ42CRU2</v>
      </c>
      <c r="M255" s="33" t="str">
        <f>"MKDIR "&amp;Table1[[#This Row],[Suggested Folder Naming]]</f>
        <v>MKDIR D:\PAS\CBR\ProcessedFiles\WIL\APC\LAR_WIL_APC_Aspen_IQ_IQ42CRU2</v>
      </c>
    </row>
    <row r="256" spans="1:13" x14ac:dyDescent="0.25">
      <c r="A256" s="21"/>
      <c r="B256" s="7" t="s">
        <v>584</v>
      </c>
      <c r="C256" s="8" t="s">
        <v>475</v>
      </c>
      <c r="D256" s="19" t="s">
        <v>175</v>
      </c>
      <c r="E256" s="30" t="s">
        <v>121</v>
      </c>
      <c r="F256" s="31" t="s">
        <v>151</v>
      </c>
      <c r="G256" s="31" t="str">
        <f>_xlfn.IFNA(VLOOKUP(F256,'Look Table'!B$1:E$64,3,FALSE),"")</f>
        <v>Aspen</v>
      </c>
      <c r="H256" s="31" t="str">
        <f>_xlfn.IFNA(VLOOKUP(F256,'Look Table'!B$1:E$64,4,FALSE),"")</f>
        <v>IQ</v>
      </c>
      <c r="I256" s="41" t="s">
        <v>463</v>
      </c>
      <c r="J256" s="31" t="str">
        <f t="shared" si="3"/>
        <v>LAR_WIL</v>
      </c>
      <c r="K256" s="3" t="str">
        <f>J256&amp;"_"&amp;E256&amp;IF(ISNUMBER(SEARCH("PAS",G256)),"","_")&amp;(_xlfn.TEXTJOIN("_",TRUE,IF(G256 &lt;&gt; "PAS",G256:H256,""))&amp;(IF(Table1[[#This Row],[Sub-Area]]&lt;&gt;"",_xlfn.CONCAT("_",Table1[[#This Row],[Sub-Area]]),"")))</f>
        <v>LAR_WIL_APC_Aspen_IQ_IQ42JETFL</v>
      </c>
      <c r="L256" s="32" t="str">
        <f>IF(I256 &lt;&gt; "",I256&amp;":\PAS\CBR\ProcessedFiles\"&amp;Table1[[#This Row],[Units]]&amp;"\"&amp;Table1[[#This Row],[Asset Type]]&amp;"\"&amp;K256,"")</f>
        <v>D:\PAS\CBR\ProcessedFiles\WIL\APC\LAR_WIL_APC_Aspen_IQ_IQ42JETFL</v>
      </c>
      <c r="M256" s="33" t="str">
        <f>"MKDIR "&amp;Table1[[#This Row],[Suggested Folder Naming]]</f>
        <v>MKDIR D:\PAS\CBR\ProcessedFiles\WIL\APC\LAR_WIL_APC_Aspen_IQ_IQ42JETFL</v>
      </c>
    </row>
    <row r="257" spans="1:13" x14ac:dyDescent="0.25">
      <c r="A257" s="21"/>
      <c r="B257" s="7" t="s">
        <v>584</v>
      </c>
      <c r="C257" s="8" t="s">
        <v>475</v>
      </c>
      <c r="D257" s="19" t="s">
        <v>176</v>
      </c>
      <c r="E257" s="30" t="s">
        <v>121</v>
      </c>
      <c r="F257" s="31" t="s">
        <v>151</v>
      </c>
      <c r="G257" s="31" t="str">
        <f>_xlfn.IFNA(VLOOKUP(F257,'Look Table'!B$1:E$64,3,FALSE),"")</f>
        <v>Aspen</v>
      </c>
      <c r="H257" s="31" t="str">
        <f>_xlfn.IFNA(VLOOKUP(F257,'Look Table'!B$1:E$64,4,FALSE),"")</f>
        <v>IQ</v>
      </c>
      <c r="I257" s="41" t="s">
        <v>463</v>
      </c>
      <c r="J257" s="31" t="str">
        <f t="shared" si="3"/>
        <v>LAR_WIL</v>
      </c>
      <c r="K257" s="3" t="str">
        <f>J257&amp;"_"&amp;E257&amp;IF(ISNUMBER(SEARCH("PAS",G257)),"","_")&amp;(_xlfn.TEXTJOIN("_",TRUE,IF(G257 &lt;&gt; "PAS",G257:H257,""))&amp;(IF(Table1[[#This Row],[Sub-Area]]&lt;&gt;"",_xlfn.CONCAT("_",Table1[[#This Row],[Sub-Area]]),"")))</f>
        <v>LAR_WIL_APC_Aspen_IQ_IQ5HCU</v>
      </c>
      <c r="L257" s="32" t="str">
        <f>IF(I257 &lt;&gt; "",I257&amp;":\PAS\CBR\ProcessedFiles\"&amp;Table1[[#This Row],[Units]]&amp;"\"&amp;Table1[[#This Row],[Asset Type]]&amp;"\"&amp;K257,"")</f>
        <v>D:\PAS\CBR\ProcessedFiles\WIL\APC\LAR_WIL_APC_Aspen_IQ_IQ5HCU</v>
      </c>
      <c r="M257" s="33" t="str">
        <f>"MKDIR "&amp;Table1[[#This Row],[Suggested Folder Naming]]</f>
        <v>MKDIR D:\PAS\CBR\ProcessedFiles\WIL\APC\LAR_WIL_APC_Aspen_IQ_IQ5HCU</v>
      </c>
    </row>
    <row r="258" spans="1:13" x14ac:dyDescent="0.25">
      <c r="A258" s="21"/>
      <c r="B258" s="7" t="s">
        <v>584</v>
      </c>
      <c r="C258" s="8" t="s">
        <v>475</v>
      </c>
      <c r="D258" s="19" t="s">
        <v>177</v>
      </c>
      <c r="E258" s="30" t="s">
        <v>121</v>
      </c>
      <c r="F258" s="31" t="s">
        <v>151</v>
      </c>
      <c r="G258" s="31" t="str">
        <f>_xlfn.IFNA(VLOOKUP(F258,'Look Table'!B$1:E$64,3,FALSE),"")</f>
        <v>Aspen</v>
      </c>
      <c r="H258" s="31" t="str">
        <f>_xlfn.IFNA(VLOOKUP(F258,'Look Table'!B$1:E$64,4,FALSE),"")</f>
        <v>IQ</v>
      </c>
      <c r="I258" s="41" t="s">
        <v>463</v>
      </c>
      <c r="J258" s="31" t="str">
        <f t="shared" si="3"/>
        <v>LAR_WIL</v>
      </c>
      <c r="K258" s="3" t="str">
        <f>J258&amp;"_"&amp;E258&amp;IF(ISNUMBER(SEARCH("PAS",G258)),"","_")&amp;(_xlfn.TEXTJOIN("_",TRUE,IF(G258 &lt;&gt; "PAS",G258:H258,""))&amp;(IF(Table1[[#This Row],[Sub-Area]]&lt;&gt;"",_xlfn.CONCAT("_",Table1[[#This Row],[Sub-Area]]),"")))</f>
        <v>LAR_WIL_APC_Aspen_IQ_IQALKY</v>
      </c>
      <c r="L258" s="32" t="str">
        <f>IF(I258 &lt;&gt; "",I258&amp;":\PAS\CBR\ProcessedFiles\"&amp;Table1[[#This Row],[Units]]&amp;"\"&amp;Table1[[#This Row],[Asset Type]]&amp;"\"&amp;K258,"")</f>
        <v>D:\PAS\CBR\ProcessedFiles\WIL\APC\LAR_WIL_APC_Aspen_IQ_IQALKY</v>
      </c>
      <c r="M258" s="33" t="str">
        <f>"MKDIR "&amp;Table1[[#This Row],[Suggested Folder Naming]]</f>
        <v>MKDIR D:\PAS\CBR\ProcessedFiles\WIL\APC\LAR_WIL_APC_Aspen_IQ_IQALKY</v>
      </c>
    </row>
    <row r="259" spans="1:13" x14ac:dyDescent="0.25">
      <c r="A259" s="21"/>
      <c r="B259" s="7" t="s">
        <v>584</v>
      </c>
      <c r="C259" s="8" t="s">
        <v>475</v>
      </c>
      <c r="D259" s="19" t="s">
        <v>178</v>
      </c>
      <c r="E259" s="30" t="s">
        <v>121</v>
      </c>
      <c r="F259" s="31" t="s">
        <v>151</v>
      </c>
      <c r="G259" s="31" t="str">
        <f>_xlfn.IFNA(VLOOKUP(F259,'Look Table'!B$1:E$64,3,FALSE),"")</f>
        <v>Aspen</v>
      </c>
      <c r="H259" s="31" t="str">
        <f>_xlfn.IFNA(VLOOKUP(F259,'Look Table'!B$1:E$64,4,FALSE),"")</f>
        <v>IQ</v>
      </c>
      <c r="I259" s="41" t="s">
        <v>463</v>
      </c>
      <c r="J259" s="31" t="str">
        <f t="shared" ref="J259:J322" si="4">_xlfn.TEXTJOIN("_",TRUE,B259:C259)</f>
        <v>LAR_WIL</v>
      </c>
      <c r="K259" s="3" t="str">
        <f>J259&amp;"_"&amp;E259&amp;IF(ISNUMBER(SEARCH("PAS",G259)),"","_")&amp;(_xlfn.TEXTJOIN("_",TRUE,IF(G259 &lt;&gt; "PAS",G259:H259,""))&amp;(IF(Table1[[#This Row],[Sub-Area]]&lt;&gt;"",_xlfn.CONCAT("_",Table1[[#This Row],[Sub-Area]]),"")))</f>
        <v>LAR_WIL_APC_Aspen_IQ_IQCRU3</v>
      </c>
      <c r="L259" s="32" t="str">
        <f>IF(I259 &lt;&gt; "",I259&amp;":\PAS\CBR\ProcessedFiles\"&amp;Table1[[#This Row],[Units]]&amp;"\"&amp;Table1[[#This Row],[Asset Type]]&amp;"\"&amp;K259,"")</f>
        <v>D:\PAS\CBR\ProcessedFiles\WIL\APC\LAR_WIL_APC_Aspen_IQ_IQCRU3</v>
      </c>
      <c r="M259" s="33" t="str">
        <f>"MKDIR "&amp;Table1[[#This Row],[Suggested Folder Naming]]</f>
        <v>MKDIR D:\PAS\CBR\ProcessedFiles\WIL\APC\LAR_WIL_APC_Aspen_IQ_IQCRU3</v>
      </c>
    </row>
    <row r="260" spans="1:13" x14ac:dyDescent="0.25">
      <c r="A260" s="21"/>
      <c r="B260" s="7" t="s">
        <v>584</v>
      </c>
      <c r="C260" s="8" t="s">
        <v>475</v>
      </c>
      <c r="D260" s="19" t="s">
        <v>179</v>
      </c>
      <c r="E260" s="30" t="s">
        <v>121</v>
      </c>
      <c r="F260" s="31" t="s">
        <v>151</v>
      </c>
      <c r="G260" s="31" t="str">
        <f>_xlfn.IFNA(VLOOKUP(F260,'Look Table'!B$1:E$64,3,FALSE),"")</f>
        <v>Aspen</v>
      </c>
      <c r="H260" s="31" t="str">
        <f>_xlfn.IFNA(VLOOKUP(F260,'Look Table'!B$1:E$64,4,FALSE),"")</f>
        <v>IQ</v>
      </c>
      <c r="I260" s="41" t="s">
        <v>463</v>
      </c>
      <c r="J260" s="31" t="str">
        <f t="shared" si="4"/>
        <v>LAR_WIL</v>
      </c>
      <c r="K260" s="3" t="str">
        <f>J260&amp;"_"&amp;E260&amp;IF(ISNUMBER(SEARCH("PAS",G260)),"","_")&amp;(_xlfn.TEXTJOIN("_",TRUE,IF(G260 &lt;&gt; "PAS",G260:H260,""))&amp;(IF(Table1[[#This Row],[Sub-Area]]&lt;&gt;"",_xlfn.CONCAT("_",Table1[[#This Row],[Sub-Area]]),"")))</f>
        <v>LAR_WIL_APC_Aspen_IQ_IQDCU</v>
      </c>
      <c r="L260" s="32" t="str">
        <f>IF(I260 &lt;&gt; "",I260&amp;":\PAS\CBR\ProcessedFiles\"&amp;Table1[[#This Row],[Units]]&amp;"\"&amp;Table1[[#This Row],[Asset Type]]&amp;"\"&amp;K260,"")</f>
        <v>D:\PAS\CBR\ProcessedFiles\WIL\APC\LAR_WIL_APC_Aspen_IQ_IQDCU</v>
      </c>
      <c r="M260" s="33" t="str">
        <f>"MKDIR "&amp;Table1[[#This Row],[Suggested Folder Naming]]</f>
        <v>MKDIR D:\PAS\CBR\ProcessedFiles\WIL\APC\LAR_WIL_APC_Aspen_IQ_IQDCU</v>
      </c>
    </row>
    <row r="261" spans="1:13" x14ac:dyDescent="0.25">
      <c r="A261" s="21"/>
      <c r="B261" s="7" t="s">
        <v>584</v>
      </c>
      <c r="C261" s="8" t="s">
        <v>475</v>
      </c>
      <c r="D261" s="19" t="s">
        <v>180</v>
      </c>
      <c r="E261" s="30" t="s">
        <v>121</v>
      </c>
      <c r="F261" s="31" t="s">
        <v>151</v>
      </c>
      <c r="G261" s="31" t="str">
        <f>_xlfn.IFNA(VLOOKUP(F261,'Look Table'!B$1:E$64,3,FALSE),"")</f>
        <v>Aspen</v>
      </c>
      <c r="H261" s="31" t="str">
        <f>_xlfn.IFNA(VLOOKUP(F261,'Look Table'!B$1:E$64,4,FALSE),"")</f>
        <v>IQ</v>
      </c>
      <c r="I261" s="41" t="s">
        <v>463</v>
      </c>
      <c r="J261" s="31" t="str">
        <f t="shared" si="4"/>
        <v>LAR_WIL</v>
      </c>
      <c r="K261" s="3" t="str">
        <f>J261&amp;"_"&amp;E261&amp;IF(ISNUMBER(SEARCH("PAS",G261)),"","_")&amp;(_xlfn.TEXTJOIN("_",TRUE,IF(G261 &lt;&gt; "PAS",G261:H261,""))&amp;(IF(Table1[[#This Row],[Sub-Area]]&lt;&gt;"",_xlfn.CONCAT("_",Table1[[#This Row],[Sub-Area]]),"")))</f>
        <v>LAR_WIL_APC_Aspen_IQ_IQHTU4</v>
      </c>
      <c r="L261" s="32" t="str">
        <f>IF(I261 &lt;&gt; "",I261&amp;":\PAS\CBR\ProcessedFiles\"&amp;Table1[[#This Row],[Units]]&amp;"\"&amp;Table1[[#This Row],[Asset Type]]&amp;"\"&amp;K261,"")</f>
        <v>D:\PAS\CBR\ProcessedFiles\WIL\APC\LAR_WIL_APC_Aspen_IQ_IQHTU4</v>
      </c>
      <c r="M261" s="33" t="str">
        <f>"MKDIR "&amp;Table1[[#This Row],[Suggested Folder Naming]]</f>
        <v>MKDIR D:\PAS\CBR\ProcessedFiles\WIL\APC\LAR_WIL_APC_Aspen_IQ_IQHTU4</v>
      </c>
    </row>
    <row r="262" spans="1:13" x14ac:dyDescent="0.25">
      <c r="A262" s="21"/>
      <c r="B262" s="7" t="s">
        <v>584</v>
      </c>
      <c r="C262" s="8" t="s">
        <v>477</v>
      </c>
      <c r="D262" s="19" t="s">
        <v>181</v>
      </c>
      <c r="E262" s="30" t="s">
        <v>182</v>
      </c>
      <c r="F262" s="31" t="s">
        <v>183</v>
      </c>
      <c r="G262" s="31" t="s">
        <v>445</v>
      </c>
      <c r="H262" s="31" t="str">
        <f>_xlfn.IFNA(VLOOKUP(F262,'Look Table'!B$1:E$64,4,FALSE),"")</f>
        <v>BN3500</v>
      </c>
      <c r="I262" s="41" t="s">
        <v>463</v>
      </c>
      <c r="J262" s="31" t="str">
        <f t="shared" si="4"/>
        <v>LAR_CAR</v>
      </c>
      <c r="K262" s="3" t="str">
        <f>J262&amp;"_"&amp;E262&amp;IF(ISNUMBER(SEARCH("PAS",G262)),"","_")&amp;(_xlfn.TEXTJOIN("_",TRUE,IF(G262 &lt;&gt; "PAS",G262:H262,""))&amp;(IF(Table1[[#This Row],[Sub-Area]]&lt;&gt;"",_xlfn.CONCAT("_",Table1[[#This Row],[Sub-Area]]),"")))</f>
        <v>LAR_CAR_VMS_Bently_BN3500_ALKY_Refrig</v>
      </c>
      <c r="L262" s="32" t="str">
        <f>IF(I262 &lt;&gt; "",I262&amp;":\PAS\CBR\ProcessedFiles\"&amp;Table1[[#This Row],[Units]]&amp;"\"&amp;Table1[[#This Row],[Asset Type]]&amp;"\"&amp;K262,"")</f>
        <v>D:\PAS\CBR\ProcessedFiles\CAR\VMS\LAR_CAR_VMS_Bently_BN3500_ALKY_Refrig</v>
      </c>
      <c r="M262" s="33" t="str">
        <f>"MKDIR "&amp;Table1[[#This Row],[Suggested Folder Naming]]</f>
        <v>MKDIR D:\PAS\CBR\ProcessedFiles\CAR\VMS\LAR_CAR_VMS_Bently_BN3500_ALKY_Refrig</v>
      </c>
    </row>
    <row r="263" spans="1:13" x14ac:dyDescent="0.25">
      <c r="A263" s="21"/>
      <c r="B263" s="7" t="s">
        <v>584</v>
      </c>
      <c r="C263" s="8" t="s">
        <v>477</v>
      </c>
      <c r="D263" s="19" t="s">
        <v>184</v>
      </c>
      <c r="E263" s="30" t="s">
        <v>182</v>
      </c>
      <c r="F263" s="31" t="s">
        <v>183</v>
      </c>
      <c r="G263" s="31" t="s">
        <v>445</v>
      </c>
      <c r="H263" s="31" t="str">
        <f>_xlfn.IFNA(VLOOKUP(F263,'Look Table'!B$1:E$64,4,FALSE),"")</f>
        <v>BN3500</v>
      </c>
      <c r="I263" s="41" t="s">
        <v>463</v>
      </c>
      <c r="J263" s="31" t="str">
        <f t="shared" si="4"/>
        <v>LAR_CAR</v>
      </c>
      <c r="K263" s="3" t="str">
        <f>J263&amp;"_"&amp;E263&amp;IF(ISNUMBER(SEARCH("PAS",G263)),"","_")&amp;(_xlfn.TEXTJOIN("_",TRUE,IF(G263 &lt;&gt; "PAS",G263:H263,""))&amp;(IF(Table1[[#This Row],[Sub-Area]]&lt;&gt;"",_xlfn.CONCAT("_",Table1[[#This Row],[Sub-Area]]),"")))</f>
        <v>LAR_CAR_VMS_Bently_BN3500_Coker_K2_Comp</v>
      </c>
      <c r="L263" s="32" t="str">
        <f>IF(I263 &lt;&gt; "",I263&amp;":\PAS\CBR\ProcessedFiles\"&amp;Table1[[#This Row],[Units]]&amp;"\"&amp;Table1[[#This Row],[Asset Type]]&amp;"\"&amp;K263,"")</f>
        <v>D:\PAS\CBR\ProcessedFiles\CAR\VMS\LAR_CAR_VMS_Bently_BN3500_Coker_K2_Comp</v>
      </c>
      <c r="M263" s="33" t="str">
        <f>"MKDIR "&amp;Table1[[#This Row],[Suggested Folder Naming]]</f>
        <v>MKDIR D:\PAS\CBR\ProcessedFiles\CAR\VMS\LAR_CAR_VMS_Bently_BN3500_Coker_K2_Comp</v>
      </c>
    </row>
    <row r="264" spans="1:13" x14ac:dyDescent="0.25">
      <c r="A264" s="21"/>
      <c r="B264" s="7" t="s">
        <v>584</v>
      </c>
      <c r="C264" s="8" t="s">
        <v>477</v>
      </c>
      <c r="D264" s="19" t="s">
        <v>185</v>
      </c>
      <c r="E264" s="30" t="s">
        <v>182</v>
      </c>
      <c r="F264" s="31" t="s">
        <v>183</v>
      </c>
      <c r="G264" s="31" t="s">
        <v>445</v>
      </c>
      <c r="H264" s="31" t="str">
        <f>_xlfn.IFNA(VLOOKUP(F264,'Look Table'!B$1:E$64,4,FALSE),"")</f>
        <v>BN3500</v>
      </c>
      <c r="I264" s="41" t="s">
        <v>463</v>
      </c>
      <c r="J264" s="31" t="str">
        <f t="shared" si="4"/>
        <v>LAR_CAR</v>
      </c>
      <c r="K264" s="3" t="str">
        <f>J264&amp;"_"&amp;E264&amp;IF(ISNUMBER(SEARCH("PAS",G264)),"","_")&amp;(_xlfn.TEXTJOIN("_",TRUE,IF(G264 &lt;&gt; "PAS",G264:H264,""))&amp;(IF(Table1[[#This Row],[Sub-Area]]&lt;&gt;"",_xlfn.CONCAT("_",Table1[[#This Row],[Sub-Area]]),"")))</f>
        <v>LAR_CAR_VMS_Bently_BN3500_FCC_2nd_Stage</v>
      </c>
      <c r="L264" s="32" t="str">
        <f>IF(I264 &lt;&gt; "",I264&amp;":\PAS\CBR\ProcessedFiles\"&amp;Table1[[#This Row],[Units]]&amp;"\"&amp;Table1[[#This Row],[Asset Type]]&amp;"\"&amp;K264,"")</f>
        <v>D:\PAS\CBR\ProcessedFiles\CAR\VMS\LAR_CAR_VMS_Bently_BN3500_FCC_2nd_Stage</v>
      </c>
      <c r="M264" s="33" t="str">
        <f>"MKDIR "&amp;Table1[[#This Row],[Suggested Folder Naming]]</f>
        <v>MKDIR D:\PAS\CBR\ProcessedFiles\CAR\VMS\LAR_CAR_VMS_Bently_BN3500_FCC_2nd_Stage</v>
      </c>
    </row>
    <row r="265" spans="1:13" x14ac:dyDescent="0.25">
      <c r="A265" s="21"/>
      <c r="B265" s="7" t="s">
        <v>584</v>
      </c>
      <c r="C265" s="8" t="s">
        <v>477</v>
      </c>
      <c r="D265" s="19" t="s">
        <v>186</v>
      </c>
      <c r="E265" s="30" t="s">
        <v>182</v>
      </c>
      <c r="F265" s="31" t="s">
        <v>183</v>
      </c>
      <c r="G265" s="31" t="s">
        <v>445</v>
      </c>
      <c r="H265" s="31" t="str">
        <f>_xlfn.IFNA(VLOOKUP(F265,'Look Table'!B$1:E$64,4,FALSE),"")</f>
        <v>BN3500</v>
      </c>
      <c r="I265" s="41" t="s">
        <v>463</v>
      </c>
      <c r="J265" s="31" t="str">
        <f t="shared" si="4"/>
        <v>LAR_CAR</v>
      </c>
      <c r="K265" s="3" t="str">
        <f>J265&amp;"_"&amp;E265&amp;IF(ISNUMBER(SEARCH("PAS",G265)),"","_")&amp;(_xlfn.TEXTJOIN("_",TRUE,IF(G265 &lt;&gt; "PAS",G265:H265,""))&amp;(IF(Table1[[#This Row],[Sub-Area]]&lt;&gt;"",_xlfn.CONCAT("_",Table1[[#This Row],[Sub-Area]]),"")))</f>
        <v>LAR_CAR_VMS_Bently_BN3500_FCC_Frick</v>
      </c>
      <c r="L265" s="32" t="str">
        <f>IF(I265 &lt;&gt; "",I265&amp;":\PAS\CBR\ProcessedFiles\"&amp;Table1[[#This Row],[Units]]&amp;"\"&amp;Table1[[#This Row],[Asset Type]]&amp;"\"&amp;K265,"")</f>
        <v>D:\PAS\CBR\ProcessedFiles\CAR\VMS\LAR_CAR_VMS_Bently_BN3500_FCC_Frick</v>
      </c>
      <c r="M265" s="33" t="str">
        <f>"MKDIR "&amp;Table1[[#This Row],[Suggested Folder Naming]]</f>
        <v>MKDIR D:\PAS\CBR\ProcessedFiles\CAR\VMS\LAR_CAR_VMS_Bently_BN3500_FCC_Frick</v>
      </c>
    </row>
    <row r="266" spans="1:13" x14ac:dyDescent="0.25">
      <c r="A266" s="21"/>
      <c r="B266" s="7" t="s">
        <v>584</v>
      </c>
      <c r="C266" s="8" t="s">
        <v>477</v>
      </c>
      <c r="D266" s="19" t="s">
        <v>187</v>
      </c>
      <c r="E266" s="30" t="s">
        <v>182</v>
      </c>
      <c r="F266" s="31" t="s">
        <v>183</v>
      </c>
      <c r="G266" s="31" t="s">
        <v>445</v>
      </c>
      <c r="H266" s="31" t="str">
        <f>_xlfn.IFNA(VLOOKUP(F266,'Look Table'!B$1:E$64,4,FALSE),"")</f>
        <v>BN3500</v>
      </c>
      <c r="I266" s="41" t="s">
        <v>463</v>
      </c>
      <c r="J266" s="31" t="str">
        <f t="shared" si="4"/>
        <v>LAR_CAR</v>
      </c>
      <c r="K266" s="3" t="str">
        <f>J266&amp;"_"&amp;E266&amp;IF(ISNUMBER(SEARCH("PAS",G266)),"","_")&amp;(_xlfn.TEXTJOIN("_",TRUE,IF(G266 &lt;&gt; "PAS",G266:H266,""))&amp;(IF(Table1[[#This Row],[Sub-Area]]&lt;&gt;"",_xlfn.CONCAT("_",Table1[[#This Row],[Sub-Area]]),"")))</f>
        <v>LAR_CAR_VMS_Bently_BN3500_FCC_LRU_TEC</v>
      </c>
      <c r="L266" s="32" t="str">
        <f>IF(I266 &lt;&gt; "",I266&amp;":\PAS\CBR\ProcessedFiles\"&amp;Table1[[#This Row],[Units]]&amp;"\"&amp;Table1[[#This Row],[Asset Type]]&amp;"\"&amp;K266,"")</f>
        <v>D:\PAS\CBR\ProcessedFiles\CAR\VMS\LAR_CAR_VMS_Bently_BN3500_FCC_LRU_TEC</v>
      </c>
      <c r="M266" s="33" t="str">
        <f>"MKDIR "&amp;Table1[[#This Row],[Suggested Folder Naming]]</f>
        <v>MKDIR D:\PAS\CBR\ProcessedFiles\CAR\VMS\LAR_CAR_VMS_Bently_BN3500_FCC_LRU_TEC</v>
      </c>
    </row>
    <row r="267" spans="1:13" x14ac:dyDescent="0.25">
      <c r="A267" s="21"/>
      <c r="B267" s="7" t="s">
        <v>584</v>
      </c>
      <c r="C267" s="8" t="s">
        <v>477</v>
      </c>
      <c r="D267" s="19" t="s">
        <v>188</v>
      </c>
      <c r="E267" s="30" t="s">
        <v>182</v>
      </c>
      <c r="F267" s="31" t="s">
        <v>183</v>
      </c>
      <c r="G267" s="31" t="s">
        <v>445</v>
      </c>
      <c r="H267" s="31" t="str">
        <f>_xlfn.IFNA(VLOOKUP(F267,'Look Table'!B$1:E$64,4,FALSE),"")</f>
        <v>BN3500</v>
      </c>
      <c r="I267" s="41" t="s">
        <v>463</v>
      </c>
      <c r="J267" s="31" t="str">
        <f t="shared" si="4"/>
        <v>LAR_CAR</v>
      </c>
      <c r="K267" s="3" t="str">
        <f>J267&amp;"_"&amp;E267&amp;IF(ISNUMBER(SEARCH("PAS",G267)),"","_")&amp;(_xlfn.TEXTJOIN("_",TRUE,IF(G267 &lt;&gt; "PAS",G267:H267,""))&amp;(IF(Table1[[#This Row],[Sub-Area]]&lt;&gt;"",_xlfn.CONCAT("_",Table1[[#This Row],[Sub-Area]]),"")))</f>
        <v>LAR_CAR_VMS_Bently_BN3500_FCC_MAB</v>
      </c>
      <c r="L267" s="32" t="str">
        <f>IF(I267 &lt;&gt; "",I267&amp;":\PAS\CBR\ProcessedFiles\"&amp;Table1[[#This Row],[Units]]&amp;"\"&amp;Table1[[#This Row],[Asset Type]]&amp;"\"&amp;K267,"")</f>
        <v>D:\PAS\CBR\ProcessedFiles\CAR\VMS\LAR_CAR_VMS_Bently_BN3500_FCC_MAB</v>
      </c>
      <c r="M267" s="33" t="str">
        <f>"MKDIR "&amp;Table1[[#This Row],[Suggested Folder Naming]]</f>
        <v>MKDIR D:\PAS\CBR\ProcessedFiles\CAR\VMS\LAR_CAR_VMS_Bently_BN3500_FCC_MAB</v>
      </c>
    </row>
    <row r="268" spans="1:13" x14ac:dyDescent="0.25">
      <c r="A268" s="21"/>
      <c r="B268" s="7" t="s">
        <v>584</v>
      </c>
      <c r="C268" s="8" t="s">
        <v>477</v>
      </c>
      <c r="D268" s="19" t="s">
        <v>189</v>
      </c>
      <c r="E268" s="30" t="s">
        <v>182</v>
      </c>
      <c r="F268" s="31" t="s">
        <v>183</v>
      </c>
      <c r="G268" s="31" t="s">
        <v>445</v>
      </c>
      <c r="H268" s="31" t="str">
        <f>_xlfn.IFNA(VLOOKUP(F268,'Look Table'!B$1:E$64,4,FALSE),"")</f>
        <v>BN3500</v>
      </c>
      <c r="I268" s="41" t="s">
        <v>463</v>
      </c>
      <c r="J268" s="31" t="str">
        <f t="shared" si="4"/>
        <v>LAR_CAR</v>
      </c>
      <c r="K268" s="3" t="str">
        <f>J268&amp;"_"&amp;E268&amp;IF(ISNUMBER(SEARCH("PAS",G268)),"","_")&amp;(_xlfn.TEXTJOIN("_",TRUE,IF(G268 &lt;&gt; "PAS",G268:H268,""))&amp;(IF(Table1[[#This Row],[Sub-Area]]&lt;&gt;"",_xlfn.CONCAT("_",Table1[[#This Row],[Sub-Area]]),"")))</f>
        <v>LAR_CAR_VMS_Bently_BN3500_HCU_Recycle</v>
      </c>
      <c r="L268" s="32" t="str">
        <f>IF(I268 &lt;&gt; "",I268&amp;":\PAS\CBR\ProcessedFiles\"&amp;Table1[[#This Row],[Units]]&amp;"\"&amp;Table1[[#This Row],[Asset Type]]&amp;"\"&amp;K268,"")</f>
        <v>D:\PAS\CBR\ProcessedFiles\CAR\VMS\LAR_CAR_VMS_Bently_BN3500_HCU_Recycle</v>
      </c>
      <c r="M268" s="33" t="str">
        <f>"MKDIR "&amp;Table1[[#This Row],[Suggested Folder Naming]]</f>
        <v>MKDIR D:\PAS\CBR\ProcessedFiles\CAR\VMS\LAR_CAR_VMS_Bently_BN3500_HCU_Recycle</v>
      </c>
    </row>
    <row r="269" spans="1:13" x14ac:dyDescent="0.25">
      <c r="A269" s="21"/>
      <c r="B269" s="7" t="s">
        <v>584</v>
      </c>
      <c r="C269" s="8" t="s">
        <v>477</v>
      </c>
      <c r="D269" s="19" t="s">
        <v>190</v>
      </c>
      <c r="E269" s="30" t="s">
        <v>182</v>
      </c>
      <c r="F269" s="31" t="s">
        <v>183</v>
      </c>
      <c r="G269" s="31" t="s">
        <v>445</v>
      </c>
      <c r="H269" s="31" t="str">
        <f>_xlfn.IFNA(VLOOKUP(F269,'Look Table'!B$1:E$64,4,FALSE),"")</f>
        <v>BN3500</v>
      </c>
      <c r="I269" s="41" t="s">
        <v>463</v>
      </c>
      <c r="J269" s="31" t="str">
        <f t="shared" si="4"/>
        <v>LAR_CAR</v>
      </c>
      <c r="K269" s="3" t="str">
        <f>J269&amp;"_"&amp;E269&amp;IF(ISNUMBER(SEARCH("PAS",G269)),"","_")&amp;(_xlfn.TEXTJOIN("_",TRUE,IF(G269 &lt;&gt; "PAS",G269:H269,""))&amp;(IF(Table1[[#This Row],[Sub-Area]]&lt;&gt;"",_xlfn.CONCAT("_",Table1[[#This Row],[Sub-Area]]),"")))</f>
        <v>LAR_CAR_VMS_Bently_BN3500_HDS_Recycle</v>
      </c>
      <c r="L269" s="32" t="str">
        <f>IF(I269 &lt;&gt; "",I269&amp;":\PAS\CBR\ProcessedFiles\"&amp;Table1[[#This Row],[Units]]&amp;"\"&amp;Table1[[#This Row],[Asset Type]]&amp;"\"&amp;K269,"")</f>
        <v>D:\PAS\CBR\ProcessedFiles\CAR\VMS\LAR_CAR_VMS_Bently_BN3500_HDS_Recycle</v>
      </c>
      <c r="M269" s="33" t="str">
        <f>"MKDIR "&amp;Table1[[#This Row],[Suggested Folder Naming]]</f>
        <v>MKDIR D:\PAS\CBR\ProcessedFiles\CAR\VMS\LAR_CAR_VMS_Bently_BN3500_HDS_Recycle</v>
      </c>
    </row>
    <row r="270" spans="1:13" x14ac:dyDescent="0.25">
      <c r="A270" s="21"/>
      <c r="B270" s="7" t="s">
        <v>584</v>
      </c>
      <c r="C270" s="8" t="s">
        <v>477</v>
      </c>
      <c r="D270" s="19" t="s">
        <v>191</v>
      </c>
      <c r="E270" s="30" t="s">
        <v>182</v>
      </c>
      <c r="F270" s="31" t="s">
        <v>183</v>
      </c>
      <c r="G270" s="31" t="s">
        <v>445</v>
      </c>
      <c r="H270" s="31" t="str">
        <f>_xlfn.IFNA(VLOOKUP(F270,'Look Table'!B$1:E$64,4,FALSE),"")</f>
        <v>BN3500</v>
      </c>
      <c r="I270" s="41" t="s">
        <v>463</v>
      </c>
      <c r="J270" s="31" t="str">
        <f t="shared" si="4"/>
        <v>LAR_CAR</v>
      </c>
      <c r="K270" s="3" t="str">
        <f>J270&amp;"_"&amp;E270&amp;IF(ISNUMBER(SEARCH("PAS",G270)),"","_")&amp;(_xlfn.TEXTJOIN("_",TRUE,IF(G270 &lt;&gt; "PAS",G270:H270,""))&amp;(IF(Table1[[#This Row],[Sub-Area]]&lt;&gt;"",_xlfn.CONCAT("_",Table1[[#This Row],[Sub-Area]]),"")))</f>
        <v>LAR_CAR_VMS_Bently_BN3500_ISOM_C3_Splitter</v>
      </c>
      <c r="L270" s="32" t="str">
        <f>IF(I270 &lt;&gt; "",I270&amp;":\PAS\CBR\ProcessedFiles\"&amp;Table1[[#This Row],[Units]]&amp;"\"&amp;Table1[[#This Row],[Asset Type]]&amp;"\"&amp;K270,"")</f>
        <v>D:\PAS\CBR\ProcessedFiles\CAR\VMS\LAR_CAR_VMS_Bently_BN3500_ISOM_C3_Splitter</v>
      </c>
      <c r="M270" s="33" t="str">
        <f>"MKDIR "&amp;Table1[[#This Row],[Suggested Folder Naming]]</f>
        <v>MKDIR D:\PAS\CBR\ProcessedFiles\CAR\VMS\LAR_CAR_VMS_Bently_BN3500_ISOM_C3_Splitter</v>
      </c>
    </row>
    <row r="271" spans="1:13" x14ac:dyDescent="0.25">
      <c r="A271" s="21"/>
      <c r="B271" s="7" t="s">
        <v>584</v>
      </c>
      <c r="C271" s="8" t="s">
        <v>477</v>
      </c>
      <c r="D271" s="19" t="s">
        <v>192</v>
      </c>
      <c r="E271" s="30" t="s">
        <v>182</v>
      </c>
      <c r="F271" s="31" t="s">
        <v>183</v>
      </c>
      <c r="G271" s="31" t="s">
        <v>445</v>
      </c>
      <c r="H271" s="31" t="str">
        <f>_xlfn.IFNA(VLOOKUP(F271,'Look Table'!B$1:E$64,4,FALSE),"")</f>
        <v>BN3500</v>
      </c>
      <c r="I271" s="41" t="s">
        <v>463</v>
      </c>
      <c r="J271" s="31" t="str">
        <f t="shared" si="4"/>
        <v>LAR_CAR</v>
      </c>
      <c r="K271" s="3" t="str">
        <f>J271&amp;"_"&amp;E271&amp;IF(ISNUMBER(SEARCH("PAS",G271)),"","_")&amp;(_xlfn.TEXTJOIN("_",TRUE,IF(G271 &lt;&gt; "PAS",G271:H271,""))&amp;(IF(Table1[[#This Row],[Sub-Area]]&lt;&gt;"",_xlfn.CONCAT("_",Table1[[#This Row],[Sub-Area]]),"")))</f>
        <v>LAR_CAR_VMS_Bently_BN3500_SFIA_VRCOMP1</v>
      </c>
      <c r="L271" s="32" t="str">
        <f>IF(I271 &lt;&gt; "",I271&amp;":\PAS\CBR\ProcessedFiles\"&amp;Table1[[#This Row],[Units]]&amp;"\"&amp;Table1[[#This Row],[Asset Type]]&amp;"\"&amp;K271,"")</f>
        <v>D:\PAS\CBR\ProcessedFiles\CAR\VMS\LAR_CAR_VMS_Bently_BN3500_SFIA_VRCOMP1</v>
      </c>
      <c r="M271" s="33" t="str">
        <f>"MKDIR "&amp;Table1[[#This Row],[Suggested Folder Naming]]</f>
        <v>MKDIR D:\PAS\CBR\ProcessedFiles\CAR\VMS\LAR_CAR_VMS_Bently_BN3500_SFIA_VRCOMP1</v>
      </c>
    </row>
    <row r="272" spans="1:13" x14ac:dyDescent="0.25">
      <c r="A272" s="21"/>
      <c r="B272" s="7" t="s">
        <v>584</v>
      </c>
      <c r="C272" s="8" t="s">
        <v>477</v>
      </c>
      <c r="D272" s="19" t="s">
        <v>193</v>
      </c>
      <c r="E272" s="30" t="s">
        <v>182</v>
      </c>
      <c r="F272" s="31" t="s">
        <v>183</v>
      </c>
      <c r="G272" s="31" t="s">
        <v>445</v>
      </c>
      <c r="H272" s="31" t="str">
        <f>_xlfn.IFNA(VLOOKUP(F272,'Look Table'!B$1:E$64,4,FALSE),"")</f>
        <v>BN3500</v>
      </c>
      <c r="I272" s="41" t="s">
        <v>463</v>
      </c>
      <c r="J272" s="31" t="str">
        <f t="shared" si="4"/>
        <v>LAR_CAR</v>
      </c>
      <c r="K272" s="3" t="str">
        <f>J272&amp;"_"&amp;E272&amp;IF(ISNUMBER(SEARCH("PAS",G272)),"","_")&amp;(_xlfn.TEXTJOIN("_",TRUE,IF(G272 &lt;&gt; "PAS",G272:H272,""))&amp;(IF(Table1[[#This Row],[Sub-Area]]&lt;&gt;"",_xlfn.CONCAT("_",Table1[[#This Row],[Sub-Area]]),"")))</f>
        <v>LAR_CAR_VMS_Bently_BN3500_SFIA_VRCOMP2</v>
      </c>
      <c r="L272" s="32" t="str">
        <f>IF(I272 &lt;&gt; "",I272&amp;":\PAS\CBR\ProcessedFiles\"&amp;Table1[[#This Row],[Units]]&amp;"\"&amp;Table1[[#This Row],[Asset Type]]&amp;"\"&amp;K272,"")</f>
        <v>D:\PAS\CBR\ProcessedFiles\CAR\VMS\LAR_CAR_VMS_Bently_BN3500_SFIA_VRCOMP2</v>
      </c>
      <c r="M272" s="33" t="str">
        <f>"MKDIR "&amp;Table1[[#This Row],[Suggested Folder Naming]]</f>
        <v>MKDIR D:\PAS\CBR\ProcessedFiles\CAR\VMS\LAR_CAR_VMS_Bently_BN3500_SFIA_VRCOMP2</v>
      </c>
    </row>
    <row r="273" spans="1:13" x14ac:dyDescent="0.25">
      <c r="A273" s="21"/>
      <c r="B273" s="7" t="s">
        <v>584</v>
      </c>
      <c r="C273" s="8" t="s">
        <v>480</v>
      </c>
      <c r="D273" s="19" t="s">
        <v>54</v>
      </c>
      <c r="E273" s="30" t="s">
        <v>182</v>
      </c>
      <c r="F273" s="31" t="s">
        <v>183</v>
      </c>
      <c r="G273" s="31" t="s">
        <v>445</v>
      </c>
      <c r="H273" s="31" t="str">
        <f>_xlfn.IFNA(VLOOKUP(F273,'Look Table'!B$1:E$64,4,FALSE),"")</f>
        <v>BN3500</v>
      </c>
      <c r="I273" s="41" t="s">
        <v>463</v>
      </c>
      <c r="J273" s="31" t="str">
        <f t="shared" si="4"/>
        <v>LAR_WCC</v>
      </c>
      <c r="K273" s="3" t="str">
        <f>J273&amp;"_"&amp;E273&amp;IF(ISNUMBER(SEARCH("PAS",G273)),"","_")&amp;(_xlfn.TEXTJOIN("_",TRUE,IF(G273 &lt;&gt; "PAS",G273:H273,""))&amp;(IF(Table1[[#This Row],[Sub-Area]]&lt;&gt;"",_xlfn.CONCAT("_",Table1[[#This Row],[Sub-Area]]),"")))</f>
        <v>LAR_WCC_VMS_Bently_BN3500_RGC1</v>
      </c>
      <c r="L273" s="32" t="str">
        <f>IF(I273 &lt;&gt; "",I273&amp;":\PAS\CBR\ProcessedFiles\"&amp;Table1[[#This Row],[Units]]&amp;"\"&amp;Table1[[#This Row],[Asset Type]]&amp;"\"&amp;K273,"")</f>
        <v>D:\PAS\CBR\ProcessedFiles\WCC\VMS\LAR_WCC_VMS_Bently_BN3500_RGC1</v>
      </c>
      <c r="M273" s="33" t="str">
        <f>"MKDIR "&amp;Table1[[#This Row],[Suggested Folder Naming]]</f>
        <v>MKDIR D:\PAS\CBR\ProcessedFiles\WCC\VMS\LAR_WCC_VMS_Bently_BN3500_RGC1</v>
      </c>
    </row>
    <row r="274" spans="1:13" x14ac:dyDescent="0.25">
      <c r="A274" s="21"/>
      <c r="B274" s="7" t="s">
        <v>584</v>
      </c>
      <c r="C274" s="8" t="s">
        <v>480</v>
      </c>
      <c r="D274" s="19" t="s">
        <v>55</v>
      </c>
      <c r="E274" s="30" t="s">
        <v>182</v>
      </c>
      <c r="F274" s="31" t="s">
        <v>183</v>
      </c>
      <c r="G274" s="31" t="s">
        <v>445</v>
      </c>
      <c r="H274" s="31" t="str">
        <f>_xlfn.IFNA(VLOOKUP(F274,'Look Table'!B$1:E$64,4,FALSE),"")</f>
        <v>BN3500</v>
      </c>
      <c r="I274" s="41" t="s">
        <v>463</v>
      </c>
      <c r="J274" s="31" t="str">
        <f t="shared" si="4"/>
        <v>LAR_WCC</v>
      </c>
      <c r="K274" s="3" t="str">
        <f>J274&amp;"_"&amp;E274&amp;IF(ISNUMBER(SEARCH("PAS",G274)),"","_")&amp;(_xlfn.TEXTJOIN("_",TRUE,IF(G274 &lt;&gt; "PAS",G274:H274,""))&amp;(IF(Table1[[#This Row],[Sub-Area]]&lt;&gt;"",_xlfn.CONCAT("_",Table1[[#This Row],[Sub-Area]]),"")))</f>
        <v>LAR_WCC_VMS_Bently_BN3500_RGC2</v>
      </c>
      <c r="L274" s="32" t="str">
        <f>IF(I274 &lt;&gt; "",I274&amp;":\PAS\CBR\ProcessedFiles\"&amp;Table1[[#This Row],[Units]]&amp;"\"&amp;Table1[[#This Row],[Asset Type]]&amp;"\"&amp;K274,"")</f>
        <v>D:\PAS\CBR\ProcessedFiles\WCC\VMS\LAR_WCC_VMS_Bently_BN3500_RGC2</v>
      </c>
      <c r="M274" s="33" t="str">
        <f>"MKDIR "&amp;Table1[[#This Row],[Suggested Folder Naming]]</f>
        <v>MKDIR D:\PAS\CBR\ProcessedFiles\WCC\VMS\LAR_WCC_VMS_Bently_BN3500_RGC2</v>
      </c>
    </row>
    <row r="275" spans="1:13" x14ac:dyDescent="0.25">
      <c r="A275" s="21"/>
      <c r="B275" s="7" t="s">
        <v>584</v>
      </c>
      <c r="C275" s="8" t="s">
        <v>480</v>
      </c>
      <c r="D275" s="19" t="s">
        <v>194</v>
      </c>
      <c r="E275" s="30" t="s">
        <v>182</v>
      </c>
      <c r="F275" s="31" t="s">
        <v>183</v>
      </c>
      <c r="G275" s="31" t="s">
        <v>445</v>
      </c>
      <c r="H275" s="31" t="str">
        <f>_xlfn.IFNA(VLOOKUP(F275,'Look Table'!B$1:E$64,4,FALSE),"")</f>
        <v>BN3500</v>
      </c>
      <c r="I275" s="41" t="s">
        <v>463</v>
      </c>
      <c r="J275" s="31" t="str">
        <f t="shared" si="4"/>
        <v>LAR_WCC</v>
      </c>
      <c r="K275" s="3" t="str">
        <f>J275&amp;"_"&amp;E275&amp;IF(ISNUMBER(SEARCH("PAS",G275)),"","_")&amp;(_xlfn.TEXTJOIN("_",TRUE,IF(G275 &lt;&gt; "PAS",G275:H275,""))&amp;(IF(Table1[[#This Row],[Sub-Area]]&lt;&gt;"",_xlfn.CONCAT("_",Table1[[#This Row],[Sub-Area]]),"")))</f>
        <v>LAR_WCC_VMS_Bently_BN3500_STG1</v>
      </c>
      <c r="L275" s="32" t="str">
        <f>IF(I275 &lt;&gt; "",I275&amp;":\PAS\CBR\ProcessedFiles\"&amp;Table1[[#This Row],[Units]]&amp;"\"&amp;Table1[[#This Row],[Asset Type]]&amp;"\"&amp;K275,"")</f>
        <v>D:\PAS\CBR\ProcessedFiles\WCC\VMS\LAR_WCC_VMS_Bently_BN3500_STG1</v>
      </c>
      <c r="M275" s="33" t="str">
        <f>"MKDIR "&amp;Table1[[#This Row],[Suggested Folder Naming]]</f>
        <v>MKDIR D:\PAS\CBR\ProcessedFiles\WCC\VMS\LAR_WCC_VMS_Bently_BN3500_STG1</v>
      </c>
    </row>
    <row r="276" spans="1:13" x14ac:dyDescent="0.25">
      <c r="A276" s="21"/>
      <c r="B276" s="7" t="s">
        <v>584</v>
      </c>
      <c r="C276" s="8" t="s">
        <v>480</v>
      </c>
      <c r="D276" s="19" t="s">
        <v>195</v>
      </c>
      <c r="E276" s="30" t="s">
        <v>182</v>
      </c>
      <c r="F276" s="31" t="s">
        <v>183</v>
      </c>
      <c r="G276" s="31" t="s">
        <v>445</v>
      </c>
      <c r="H276" s="31" t="str">
        <f>_xlfn.IFNA(VLOOKUP(F276,'Look Table'!B$1:E$64,4,FALSE),"")</f>
        <v>BN3500</v>
      </c>
      <c r="I276" s="41" t="s">
        <v>463</v>
      </c>
      <c r="J276" s="31" t="str">
        <f t="shared" si="4"/>
        <v>LAR_WCC</v>
      </c>
      <c r="K276" s="3" t="str">
        <f>J276&amp;"_"&amp;E276&amp;IF(ISNUMBER(SEARCH("PAS",G276)),"","_")&amp;(_xlfn.TEXTJOIN("_",TRUE,IF(G276 &lt;&gt; "PAS",G276:H276,""))&amp;(IF(Table1[[#This Row],[Sub-Area]]&lt;&gt;"",_xlfn.CONCAT("_",Table1[[#This Row],[Sub-Area]]),"")))</f>
        <v>LAR_WCC_VMS_Bently_BN3500_STG2</v>
      </c>
      <c r="L276" s="32" t="str">
        <f>IF(I276 &lt;&gt; "",I276&amp;":\PAS\CBR\ProcessedFiles\"&amp;Table1[[#This Row],[Units]]&amp;"\"&amp;Table1[[#This Row],[Asset Type]]&amp;"\"&amp;K276,"")</f>
        <v>D:\PAS\CBR\ProcessedFiles\WCC\VMS\LAR_WCC_VMS_Bently_BN3500_STG2</v>
      </c>
      <c r="M276" s="33" t="str">
        <f>"MKDIR "&amp;Table1[[#This Row],[Suggested Folder Naming]]</f>
        <v>MKDIR D:\PAS\CBR\ProcessedFiles\WCC\VMS\LAR_WCC_VMS_Bently_BN3500_STG2</v>
      </c>
    </row>
    <row r="277" spans="1:13" x14ac:dyDescent="0.25">
      <c r="A277" s="21"/>
      <c r="B277" s="7" t="s">
        <v>584</v>
      </c>
      <c r="C277" s="8" t="s">
        <v>480</v>
      </c>
      <c r="D277" s="19" t="s">
        <v>196</v>
      </c>
      <c r="E277" s="30" t="s">
        <v>182</v>
      </c>
      <c r="F277" s="31" t="s">
        <v>183</v>
      </c>
      <c r="G277" s="31" t="s">
        <v>445</v>
      </c>
      <c r="H277" s="31" t="str">
        <f>_xlfn.IFNA(VLOOKUP(F277,'Look Table'!B$1:E$64,4,FALSE),"")</f>
        <v>BN3500</v>
      </c>
      <c r="I277" s="41" t="s">
        <v>463</v>
      </c>
      <c r="J277" s="31" t="str">
        <f t="shared" si="4"/>
        <v>LAR_WCC</v>
      </c>
      <c r="K277" s="3" t="str">
        <f>J277&amp;"_"&amp;E277&amp;IF(ISNUMBER(SEARCH("PAS",G277)),"","_")&amp;(_xlfn.TEXTJOIN("_",TRUE,IF(G277 &lt;&gt; "PAS",G277:H277,""))&amp;(IF(Table1[[#This Row],[Sub-Area]]&lt;&gt;"",_xlfn.CONCAT("_",Table1[[#This Row],[Sub-Area]]),"")))</f>
        <v>LAR_WCC_VMS_Bently_BN3500_U91_GTG1</v>
      </c>
      <c r="L277" s="32" t="str">
        <f>IF(I277 &lt;&gt; "",I277&amp;":\PAS\CBR\ProcessedFiles\"&amp;Table1[[#This Row],[Units]]&amp;"\"&amp;Table1[[#This Row],[Asset Type]]&amp;"\"&amp;K277,"")</f>
        <v>D:\PAS\CBR\ProcessedFiles\WCC\VMS\LAR_WCC_VMS_Bently_BN3500_U91_GTG1</v>
      </c>
      <c r="M277" s="33" t="str">
        <f>"MKDIR "&amp;Table1[[#This Row],[Suggested Folder Naming]]</f>
        <v>MKDIR D:\PAS\CBR\ProcessedFiles\WCC\VMS\LAR_WCC_VMS_Bently_BN3500_U91_GTG1</v>
      </c>
    </row>
    <row r="278" spans="1:13" x14ac:dyDescent="0.25">
      <c r="A278" s="21"/>
      <c r="B278" s="7" t="s">
        <v>584</v>
      </c>
      <c r="C278" s="8" t="s">
        <v>480</v>
      </c>
      <c r="D278" s="19" t="s">
        <v>197</v>
      </c>
      <c r="E278" s="30" t="s">
        <v>182</v>
      </c>
      <c r="F278" s="31" t="s">
        <v>183</v>
      </c>
      <c r="G278" s="31" t="s">
        <v>445</v>
      </c>
      <c r="H278" s="31" t="str">
        <f>_xlfn.IFNA(VLOOKUP(F278,'Look Table'!B$1:E$64,4,FALSE),"")</f>
        <v>BN3500</v>
      </c>
      <c r="I278" s="41" t="s">
        <v>463</v>
      </c>
      <c r="J278" s="31" t="str">
        <f t="shared" si="4"/>
        <v>LAR_WCC</v>
      </c>
      <c r="K278" s="3" t="str">
        <f>J278&amp;"_"&amp;E278&amp;IF(ISNUMBER(SEARCH("PAS",G278)),"","_")&amp;(_xlfn.TEXTJOIN("_",TRUE,IF(G278 &lt;&gt; "PAS",G278:H278,""))&amp;(IF(Table1[[#This Row],[Sub-Area]]&lt;&gt;"",_xlfn.CONCAT("_",Table1[[#This Row],[Sub-Area]]),"")))</f>
        <v>LAR_WCC_VMS_Bently_BN3500_U92_GTG2</v>
      </c>
      <c r="L278" s="32" t="str">
        <f>IF(I278 &lt;&gt; "",I278&amp;":\PAS\CBR\ProcessedFiles\"&amp;Table1[[#This Row],[Units]]&amp;"\"&amp;Table1[[#This Row],[Asset Type]]&amp;"\"&amp;K278,"")</f>
        <v>D:\PAS\CBR\ProcessedFiles\WCC\VMS\LAR_WCC_VMS_Bently_BN3500_U92_GTG2</v>
      </c>
      <c r="M278" s="33" t="str">
        <f>"MKDIR "&amp;Table1[[#This Row],[Suggested Folder Naming]]</f>
        <v>MKDIR D:\PAS\CBR\ProcessedFiles\WCC\VMS\LAR_WCC_VMS_Bently_BN3500_U92_GTG2</v>
      </c>
    </row>
    <row r="279" spans="1:13" x14ac:dyDescent="0.25">
      <c r="A279" s="21"/>
      <c r="B279" s="7" t="s">
        <v>584</v>
      </c>
      <c r="C279" s="8" t="s">
        <v>480</v>
      </c>
      <c r="D279" s="19" t="s">
        <v>198</v>
      </c>
      <c r="E279" s="30" t="s">
        <v>182</v>
      </c>
      <c r="F279" s="31" t="s">
        <v>183</v>
      </c>
      <c r="G279" s="31" t="s">
        <v>445</v>
      </c>
      <c r="H279" s="31" t="str">
        <f>_xlfn.IFNA(VLOOKUP(F279,'Look Table'!B$1:E$64,4,FALSE),"")</f>
        <v>BN3500</v>
      </c>
      <c r="I279" s="41" t="s">
        <v>463</v>
      </c>
      <c r="J279" s="31" t="str">
        <f t="shared" si="4"/>
        <v>LAR_WCC</v>
      </c>
      <c r="K279" s="3" t="str">
        <f>J279&amp;"_"&amp;E279&amp;IF(ISNUMBER(SEARCH("PAS",G279)),"","_")&amp;(_xlfn.TEXTJOIN("_",TRUE,IF(G279 &lt;&gt; "PAS",G279:H279,""))&amp;(IF(Table1[[#This Row],[Sub-Area]]&lt;&gt;"",_xlfn.CONCAT("_",Table1[[#This Row],[Sub-Area]]),"")))</f>
        <v>LAR_WCC_VMS_Bently_BN3500_U93_GTG3</v>
      </c>
      <c r="L279" s="32" t="str">
        <f>IF(I279 &lt;&gt; "",I279&amp;":\PAS\CBR\ProcessedFiles\"&amp;Table1[[#This Row],[Units]]&amp;"\"&amp;Table1[[#This Row],[Asset Type]]&amp;"\"&amp;K279,"")</f>
        <v>D:\PAS\CBR\ProcessedFiles\WCC\VMS\LAR_WCC_VMS_Bently_BN3500_U93_GTG3</v>
      </c>
      <c r="M279" s="33" t="str">
        <f>"MKDIR "&amp;Table1[[#This Row],[Suggested Folder Naming]]</f>
        <v>MKDIR D:\PAS\CBR\ProcessedFiles\WCC\VMS\LAR_WCC_VMS_Bently_BN3500_U93_GTG3</v>
      </c>
    </row>
    <row r="280" spans="1:13" x14ac:dyDescent="0.25">
      <c r="A280" s="21"/>
      <c r="B280" s="7" t="s">
        <v>584</v>
      </c>
      <c r="C280" s="8" t="s">
        <v>480</v>
      </c>
      <c r="D280" s="19" t="s">
        <v>199</v>
      </c>
      <c r="E280" s="30" t="s">
        <v>182</v>
      </c>
      <c r="F280" s="31" t="s">
        <v>183</v>
      </c>
      <c r="G280" s="31" t="s">
        <v>445</v>
      </c>
      <c r="H280" s="31" t="str">
        <f>_xlfn.IFNA(VLOOKUP(F280,'Look Table'!B$1:E$64,4,FALSE),"")</f>
        <v>BN3500</v>
      </c>
      <c r="I280" s="41" t="s">
        <v>463</v>
      </c>
      <c r="J280" s="31" t="str">
        <f t="shared" si="4"/>
        <v>LAR_WCC</v>
      </c>
      <c r="K280" s="3" t="str">
        <f>J280&amp;"_"&amp;E280&amp;IF(ISNUMBER(SEARCH("PAS",G280)),"","_")&amp;(_xlfn.TEXTJOIN("_",TRUE,IF(G280 &lt;&gt; "PAS",G280:H280,""))&amp;(IF(Table1[[#This Row],[Sub-Area]]&lt;&gt;"",_xlfn.CONCAT("_",Table1[[#This Row],[Sub-Area]]),"")))</f>
        <v>LAR_WCC_VMS_Bently_BN3500_U94_GTG4</v>
      </c>
      <c r="L280" s="32" t="str">
        <f>IF(I280 &lt;&gt; "",I280&amp;":\PAS\CBR\ProcessedFiles\"&amp;Table1[[#This Row],[Units]]&amp;"\"&amp;Table1[[#This Row],[Asset Type]]&amp;"\"&amp;K280,"")</f>
        <v>D:\PAS\CBR\ProcessedFiles\WCC\VMS\LAR_WCC_VMS_Bently_BN3500_U94_GTG4</v>
      </c>
      <c r="M280" s="33" t="str">
        <f>"MKDIR "&amp;Table1[[#This Row],[Suggested Folder Naming]]</f>
        <v>MKDIR D:\PAS\CBR\ProcessedFiles\WCC\VMS\LAR_WCC_VMS_Bently_BN3500_U94_GTG4</v>
      </c>
    </row>
    <row r="281" spans="1:13" x14ac:dyDescent="0.25">
      <c r="A281" s="21"/>
      <c r="B281" s="7" t="s">
        <v>584</v>
      </c>
      <c r="C281" s="8" t="s">
        <v>475</v>
      </c>
      <c r="D281" s="19" t="s">
        <v>200</v>
      </c>
      <c r="E281" s="30" t="s">
        <v>182</v>
      </c>
      <c r="F281" s="31" t="s">
        <v>183</v>
      </c>
      <c r="G281" s="31" t="s">
        <v>445</v>
      </c>
      <c r="H281" s="31" t="str">
        <f>_xlfn.IFNA(VLOOKUP(F281,'Look Table'!B$1:E$64,4,FALSE),"")</f>
        <v>BN3500</v>
      </c>
      <c r="I281" s="41" t="s">
        <v>463</v>
      </c>
      <c r="J281" s="31" t="str">
        <f t="shared" si="4"/>
        <v>LAR_WIL</v>
      </c>
      <c r="K281" s="3" t="str">
        <f>J281&amp;"_"&amp;E281&amp;IF(ISNUMBER(SEARCH("PAS",G281)),"","_")&amp;(_xlfn.TEXTJOIN("_",TRUE,IF(G281 &lt;&gt; "PAS",G281:H281,""))&amp;(IF(Table1[[#This Row],[Sub-Area]]&lt;&gt;"",_xlfn.CONCAT("_",Table1[[#This Row],[Sub-Area]]),"")))</f>
        <v>LAR_WIL_VMS_Bently_BN3500_ALKY_C_155_Refrig</v>
      </c>
      <c r="L281" s="32" t="str">
        <f>IF(I281 &lt;&gt; "",I281&amp;":\PAS\CBR\ProcessedFiles\"&amp;Table1[[#This Row],[Units]]&amp;"\"&amp;Table1[[#This Row],[Asset Type]]&amp;"\"&amp;K281,"")</f>
        <v>D:\PAS\CBR\ProcessedFiles\WIL\VMS\LAR_WIL_VMS_Bently_BN3500_ALKY_C_155_Refrig</v>
      </c>
      <c r="M281" s="33" t="str">
        <f>"MKDIR "&amp;Table1[[#This Row],[Suggested Folder Naming]]</f>
        <v>MKDIR D:\PAS\CBR\ProcessedFiles\WIL\VMS\LAR_WIL_VMS_Bently_BN3500_ALKY_C_155_Refrig</v>
      </c>
    </row>
    <row r="282" spans="1:13" x14ac:dyDescent="0.25">
      <c r="A282" s="21"/>
      <c r="B282" s="7" t="s">
        <v>584</v>
      </c>
      <c r="C282" s="8" t="s">
        <v>475</v>
      </c>
      <c r="D282" s="19" t="s">
        <v>201</v>
      </c>
      <c r="E282" s="30" t="s">
        <v>182</v>
      </c>
      <c r="F282" s="31" t="s">
        <v>183</v>
      </c>
      <c r="G282" s="31" t="s">
        <v>445</v>
      </c>
      <c r="H282" s="31" t="str">
        <f>_xlfn.IFNA(VLOOKUP(F282,'Look Table'!B$1:E$64,4,FALSE),"")</f>
        <v>BN3500</v>
      </c>
      <c r="I282" s="41" t="s">
        <v>463</v>
      </c>
      <c r="J282" s="31" t="str">
        <f t="shared" si="4"/>
        <v>LAR_WIL</v>
      </c>
      <c r="K282" s="3" t="str">
        <f>J282&amp;"_"&amp;E282&amp;IF(ISNUMBER(SEARCH("PAS",G282)),"","_")&amp;(_xlfn.TEXTJOIN("_",TRUE,IF(G282 &lt;&gt; "PAS",G282:H282,""))&amp;(IF(Table1[[#This Row],[Sub-Area]]&lt;&gt;"",_xlfn.CONCAT("_",Table1[[#This Row],[Sub-Area]]),"")))</f>
        <v>LAR_WIL_VMS_Bently_BN3500_CRU2_C_73_Recycle</v>
      </c>
      <c r="L282" s="32" t="str">
        <f>IF(I282 &lt;&gt; "",I282&amp;":\PAS\CBR\ProcessedFiles\"&amp;Table1[[#This Row],[Units]]&amp;"\"&amp;Table1[[#This Row],[Asset Type]]&amp;"\"&amp;K282,"")</f>
        <v>D:\PAS\CBR\ProcessedFiles\WIL\VMS\LAR_WIL_VMS_Bently_BN3500_CRU2_C_73_Recycle</v>
      </c>
      <c r="M282" s="33" t="str">
        <f>"MKDIR "&amp;Table1[[#This Row],[Suggested Folder Naming]]</f>
        <v>MKDIR D:\PAS\CBR\ProcessedFiles\WIL\VMS\LAR_WIL_VMS_Bently_BN3500_CRU2_C_73_Recycle</v>
      </c>
    </row>
    <row r="283" spans="1:13" x14ac:dyDescent="0.25">
      <c r="A283" s="21"/>
      <c r="B283" s="7" t="s">
        <v>584</v>
      </c>
      <c r="C283" s="8" t="s">
        <v>475</v>
      </c>
      <c r="D283" s="19" t="s">
        <v>202</v>
      </c>
      <c r="E283" s="30" t="s">
        <v>182</v>
      </c>
      <c r="F283" s="31" t="s">
        <v>183</v>
      </c>
      <c r="G283" s="31" t="s">
        <v>445</v>
      </c>
      <c r="H283" s="31" t="str">
        <f>_xlfn.IFNA(VLOOKUP(F283,'Look Table'!B$1:E$64,4,FALSE),"")</f>
        <v>BN3500</v>
      </c>
      <c r="I283" s="41" t="s">
        <v>463</v>
      </c>
      <c r="J283" s="31" t="str">
        <f t="shared" si="4"/>
        <v>LAR_WIL</v>
      </c>
      <c r="K283" s="3" t="str">
        <f>J283&amp;"_"&amp;E283&amp;IF(ISNUMBER(SEARCH("PAS",G283)),"","_")&amp;(_xlfn.TEXTJOIN("_",TRUE,IF(G283 &lt;&gt; "PAS",G283:H283,""))&amp;(IF(Table1[[#This Row],[Sub-Area]]&lt;&gt;"",_xlfn.CONCAT("_",Table1[[#This Row],[Sub-Area]]),"")))</f>
        <v>LAR_WIL_VMS_Bently_BN3500_CRU3_C_89_Recycle</v>
      </c>
      <c r="L283" s="32" t="str">
        <f>IF(I283 &lt;&gt; "",I283&amp;":\PAS\CBR\ProcessedFiles\"&amp;Table1[[#This Row],[Units]]&amp;"\"&amp;Table1[[#This Row],[Asset Type]]&amp;"\"&amp;K283,"")</f>
        <v>D:\PAS\CBR\ProcessedFiles\WIL\VMS\LAR_WIL_VMS_Bently_BN3500_CRU3_C_89_Recycle</v>
      </c>
      <c r="M283" s="33" t="str">
        <f>"MKDIR "&amp;Table1[[#This Row],[Suggested Folder Naming]]</f>
        <v>MKDIR D:\PAS\CBR\ProcessedFiles\WIL\VMS\LAR_WIL_VMS_Bently_BN3500_CRU3_C_89_Recycle</v>
      </c>
    </row>
    <row r="284" spans="1:13" x14ac:dyDescent="0.25">
      <c r="A284" s="21"/>
      <c r="B284" s="7" t="s">
        <v>584</v>
      </c>
      <c r="C284" s="8" t="s">
        <v>475</v>
      </c>
      <c r="D284" s="19" t="s">
        <v>203</v>
      </c>
      <c r="E284" s="30" t="s">
        <v>182</v>
      </c>
      <c r="F284" s="31" t="s">
        <v>183</v>
      </c>
      <c r="G284" s="31" t="s">
        <v>445</v>
      </c>
      <c r="H284" s="31" t="str">
        <f>_xlfn.IFNA(VLOOKUP(F284,'Look Table'!B$1:E$64,4,FALSE),"")</f>
        <v>BN3500</v>
      </c>
      <c r="I284" s="41" t="s">
        <v>463</v>
      </c>
      <c r="J284" s="31" t="str">
        <f t="shared" si="4"/>
        <v>LAR_WIL</v>
      </c>
      <c r="K284" s="3" t="str">
        <f>J284&amp;"_"&amp;E284&amp;IF(ISNUMBER(SEARCH("PAS",G284)),"","_")&amp;(_xlfn.TEXTJOIN("_",TRUE,IF(G284 &lt;&gt; "PAS",G284:H284,""))&amp;(IF(Table1[[#This Row],[Sub-Area]]&lt;&gt;"",_xlfn.CONCAT("_",Table1[[#This Row],[Sub-Area]]),"")))</f>
        <v>LAR_WIL_VMS_Bently_BN3500_DCU_C_87_Recycle</v>
      </c>
      <c r="L284" s="32" t="str">
        <f>IF(I284 &lt;&gt; "",I284&amp;":\PAS\CBR\ProcessedFiles\"&amp;Table1[[#This Row],[Units]]&amp;"\"&amp;Table1[[#This Row],[Asset Type]]&amp;"\"&amp;K284,"")</f>
        <v>D:\PAS\CBR\ProcessedFiles\WIL\VMS\LAR_WIL_VMS_Bently_BN3500_DCU_C_87_Recycle</v>
      </c>
      <c r="M284" s="33" t="str">
        <f>"MKDIR "&amp;Table1[[#This Row],[Suggested Folder Naming]]</f>
        <v>MKDIR D:\PAS\CBR\ProcessedFiles\WIL\VMS\LAR_WIL_VMS_Bently_BN3500_DCU_C_87_Recycle</v>
      </c>
    </row>
    <row r="285" spans="1:13" x14ac:dyDescent="0.25">
      <c r="A285" s="21"/>
      <c r="B285" s="7" t="s">
        <v>584</v>
      </c>
      <c r="C285" s="8" t="s">
        <v>475</v>
      </c>
      <c r="D285" s="19" t="s">
        <v>204</v>
      </c>
      <c r="E285" s="30" t="s">
        <v>182</v>
      </c>
      <c r="F285" s="31" t="s">
        <v>183</v>
      </c>
      <c r="G285" s="31" t="s">
        <v>445</v>
      </c>
      <c r="H285" s="31" t="str">
        <f>_xlfn.IFNA(VLOOKUP(F285,'Look Table'!B$1:E$64,4,FALSE),"")</f>
        <v>BN3500</v>
      </c>
      <c r="I285" s="41" t="s">
        <v>463</v>
      </c>
      <c r="J285" s="31" t="str">
        <f t="shared" si="4"/>
        <v>LAR_WIL</v>
      </c>
      <c r="K285" s="3" t="str">
        <f>J285&amp;"_"&amp;E285&amp;IF(ISNUMBER(SEARCH("PAS",G285)),"","_")&amp;(_xlfn.TEXTJOIN("_",TRUE,IF(G285 &lt;&gt; "PAS",G285:H285,""))&amp;(IF(Table1[[#This Row],[Sub-Area]]&lt;&gt;"",_xlfn.CONCAT("_",Table1[[#This Row],[Sub-Area]]),"")))</f>
        <v>LAR_WIL_VMS_Bently_BN3500_HCU_C_93_Recycle</v>
      </c>
      <c r="L285" s="32" t="str">
        <f>IF(I285 &lt;&gt; "",I285&amp;":\PAS\CBR\ProcessedFiles\"&amp;Table1[[#This Row],[Units]]&amp;"\"&amp;Table1[[#This Row],[Asset Type]]&amp;"\"&amp;K285,"")</f>
        <v>D:\PAS\CBR\ProcessedFiles\WIL\VMS\LAR_WIL_VMS_Bently_BN3500_HCU_C_93_Recycle</v>
      </c>
      <c r="M285" s="33" t="str">
        <f>"MKDIR "&amp;Table1[[#This Row],[Suggested Folder Naming]]</f>
        <v>MKDIR D:\PAS\CBR\ProcessedFiles\WIL\VMS\LAR_WIL_VMS_Bently_BN3500_HCU_C_93_Recycle</v>
      </c>
    </row>
    <row r="286" spans="1:13" x14ac:dyDescent="0.25">
      <c r="A286" s="21"/>
      <c r="B286" s="7" t="s">
        <v>584</v>
      </c>
      <c r="C286" s="8" t="s">
        <v>475</v>
      </c>
      <c r="D286" s="19" t="s">
        <v>205</v>
      </c>
      <c r="E286" s="30" t="s">
        <v>182</v>
      </c>
      <c r="F286" s="31" t="s">
        <v>183</v>
      </c>
      <c r="G286" s="31" t="s">
        <v>445</v>
      </c>
      <c r="H286" s="31" t="str">
        <f>_xlfn.IFNA(VLOOKUP(F286,'Look Table'!B$1:E$64,4,FALSE),"")</f>
        <v>BN3500</v>
      </c>
      <c r="I286" s="41" t="s">
        <v>463</v>
      </c>
      <c r="J286" s="31" t="str">
        <f t="shared" si="4"/>
        <v>LAR_WIL</v>
      </c>
      <c r="K286" s="3" t="str">
        <f>J286&amp;"_"&amp;E286&amp;IF(ISNUMBER(SEARCH("PAS",G286)),"","_")&amp;(_xlfn.TEXTJOIN("_",TRUE,IF(G286 &lt;&gt; "PAS",G286:H286,""))&amp;(IF(Table1[[#This Row],[Sub-Area]]&lt;&gt;"",_xlfn.CONCAT("_",Table1[[#This Row],[Sub-Area]]),"")))</f>
        <v>LAR_WIL_VMS_Bently_BN3500_HCU_P_3669_Pump</v>
      </c>
      <c r="L286" s="32" t="str">
        <f>IF(I286 &lt;&gt; "",I286&amp;":\PAS\CBR\ProcessedFiles\"&amp;Table1[[#This Row],[Units]]&amp;"\"&amp;Table1[[#This Row],[Asset Type]]&amp;"\"&amp;K286,"")</f>
        <v>D:\PAS\CBR\ProcessedFiles\WIL\VMS\LAR_WIL_VMS_Bently_BN3500_HCU_P_3669_Pump</v>
      </c>
      <c r="M286" s="33" t="str">
        <f>"MKDIR "&amp;Table1[[#This Row],[Suggested Folder Naming]]</f>
        <v>MKDIR D:\PAS\CBR\ProcessedFiles\WIL\VMS\LAR_WIL_VMS_Bently_BN3500_HCU_P_3669_Pump</v>
      </c>
    </row>
    <row r="287" spans="1:13" x14ac:dyDescent="0.25">
      <c r="A287" s="21"/>
      <c r="B287" s="7" t="s">
        <v>584</v>
      </c>
      <c r="C287" s="8" t="s">
        <v>475</v>
      </c>
      <c r="D287" s="19" t="s">
        <v>206</v>
      </c>
      <c r="E287" s="30" t="s">
        <v>182</v>
      </c>
      <c r="F287" s="31" t="s">
        <v>183</v>
      </c>
      <c r="G287" s="31" t="s">
        <v>445</v>
      </c>
      <c r="H287" s="31" t="str">
        <f>_xlfn.IFNA(VLOOKUP(F287,'Look Table'!B$1:E$64,4,FALSE),"")</f>
        <v>BN3500</v>
      </c>
      <c r="I287" s="41" t="s">
        <v>463</v>
      </c>
      <c r="J287" s="31" t="str">
        <f t="shared" si="4"/>
        <v>LAR_WIL</v>
      </c>
      <c r="K287" s="3" t="str">
        <f>J287&amp;"_"&amp;E287&amp;IF(ISNUMBER(SEARCH("PAS",G287)),"","_")&amp;(_xlfn.TEXTJOIN("_",TRUE,IF(G287 &lt;&gt; "PAS",G287:H287,""))&amp;(IF(Table1[[#This Row],[Sub-Area]]&lt;&gt;"",_xlfn.CONCAT("_",Table1[[#This Row],[Sub-Area]]),"")))</f>
        <v>LAR_WIL_VMS_Bently_BN3500_HTU3_C_86_Recycle</v>
      </c>
      <c r="L287" s="32" t="str">
        <f>IF(I287 &lt;&gt; "",I287&amp;":\PAS\CBR\ProcessedFiles\"&amp;Table1[[#This Row],[Units]]&amp;"\"&amp;Table1[[#This Row],[Asset Type]]&amp;"\"&amp;K287,"")</f>
        <v>D:\PAS\CBR\ProcessedFiles\WIL\VMS\LAR_WIL_VMS_Bently_BN3500_HTU3_C_86_Recycle</v>
      </c>
      <c r="M287" s="33" t="str">
        <f>"MKDIR "&amp;Table1[[#This Row],[Suggested Folder Naming]]</f>
        <v>MKDIR D:\PAS\CBR\ProcessedFiles\WIL\VMS\LAR_WIL_VMS_Bently_BN3500_HTU3_C_86_Recycle</v>
      </c>
    </row>
    <row r="288" spans="1:13" x14ac:dyDescent="0.25">
      <c r="A288" s="21"/>
      <c r="B288" s="7" t="s">
        <v>584</v>
      </c>
      <c r="C288" s="8" t="s">
        <v>475</v>
      </c>
      <c r="D288" s="19" t="s">
        <v>207</v>
      </c>
      <c r="E288" s="30" t="s">
        <v>182</v>
      </c>
      <c r="F288" s="31" t="s">
        <v>183</v>
      </c>
      <c r="G288" s="31" t="s">
        <v>445</v>
      </c>
      <c r="H288" s="31" t="str">
        <f>_xlfn.IFNA(VLOOKUP(F288,'Look Table'!B$1:E$64,4,FALSE),"")</f>
        <v>BN3500</v>
      </c>
      <c r="I288" s="41" t="s">
        <v>463</v>
      </c>
      <c r="J288" s="31" t="str">
        <f t="shared" si="4"/>
        <v>LAR_WIL</v>
      </c>
      <c r="K288" s="3" t="str">
        <f>J288&amp;"_"&amp;E288&amp;IF(ISNUMBER(SEARCH("PAS",G288)),"","_")&amp;(_xlfn.TEXTJOIN("_",TRUE,IF(G288 &lt;&gt; "PAS",G288:H288,""))&amp;(IF(Table1[[#This Row],[Sub-Area]]&lt;&gt;"",_xlfn.CONCAT("_",Table1[[#This Row],[Sub-Area]]),"")))</f>
        <v>LAR_WIL_VMS_Bently_BN3500_HTU4_C_134_Recycle_Temp</v>
      </c>
      <c r="L288" s="32" t="str">
        <f>IF(I288 &lt;&gt; "",I288&amp;":\PAS\CBR\ProcessedFiles\"&amp;Table1[[#This Row],[Units]]&amp;"\"&amp;Table1[[#This Row],[Asset Type]]&amp;"\"&amp;K288,"")</f>
        <v>D:\PAS\CBR\ProcessedFiles\WIL\VMS\LAR_WIL_VMS_Bently_BN3500_HTU4_C_134_Recycle_Temp</v>
      </c>
      <c r="M288" s="42" t="str">
        <f>"MKDIR "&amp;Table1[[#This Row],[Suggested Folder Naming]]</f>
        <v>MKDIR D:\PAS\CBR\ProcessedFiles\WIL\VMS\LAR_WIL_VMS_Bently_BN3500_HTU4_C_134_Recycle_Temp</v>
      </c>
    </row>
    <row r="289" spans="1:13" x14ac:dyDescent="0.25">
      <c r="A289" s="21"/>
      <c r="B289" s="7" t="s">
        <v>584</v>
      </c>
      <c r="C289" s="8" t="s">
        <v>475</v>
      </c>
      <c r="D289" s="19" t="s">
        <v>208</v>
      </c>
      <c r="E289" s="30" t="s">
        <v>182</v>
      </c>
      <c r="F289" s="31" t="s">
        <v>183</v>
      </c>
      <c r="G289" s="31" t="s">
        <v>445</v>
      </c>
      <c r="H289" s="31" t="str">
        <f>_xlfn.IFNA(VLOOKUP(F289,'Look Table'!B$1:E$64,4,FALSE),"")</f>
        <v>BN3500</v>
      </c>
      <c r="I289" s="41" t="s">
        <v>463</v>
      </c>
      <c r="J289" s="31" t="str">
        <f t="shared" si="4"/>
        <v>LAR_WIL</v>
      </c>
      <c r="K289" s="3" t="str">
        <f>J289&amp;"_"&amp;E289&amp;IF(ISNUMBER(SEARCH("PAS",G289)),"","_")&amp;(_xlfn.TEXTJOIN("_",TRUE,IF(G289 &lt;&gt; "PAS",G289:H289,""))&amp;(IF(Table1[[#This Row],[Sub-Area]]&lt;&gt;"",_xlfn.CONCAT("_",Table1[[#This Row],[Sub-Area]]),"")))</f>
        <v>LAR_WIL_VMS_Bently_BN3500_HTU4_C_134_Recycle_Vib</v>
      </c>
      <c r="L289" s="32" t="str">
        <f>IF(I289 &lt;&gt; "",I289&amp;":\PAS\CBR\ProcessedFiles\"&amp;Table1[[#This Row],[Units]]&amp;"\"&amp;Table1[[#This Row],[Asset Type]]&amp;"\"&amp;K289,"")</f>
        <v>D:\PAS\CBR\ProcessedFiles\WIL\VMS\LAR_WIL_VMS_Bently_BN3500_HTU4_C_134_Recycle_Vib</v>
      </c>
      <c r="M289" s="33" t="str">
        <f>"MKDIR "&amp;Table1[[#This Row],[Suggested Folder Naming]]</f>
        <v>MKDIR D:\PAS\CBR\ProcessedFiles\WIL\VMS\LAR_WIL_VMS_Bently_BN3500_HTU4_C_134_Recycle_Vib</v>
      </c>
    </row>
    <row r="290" spans="1:13" x14ac:dyDescent="0.25">
      <c r="A290" s="21"/>
      <c r="B290" s="7" t="s">
        <v>584</v>
      </c>
      <c r="C290" s="8" t="s">
        <v>475</v>
      </c>
      <c r="D290" s="19" t="s">
        <v>209</v>
      </c>
      <c r="E290" s="30" t="s">
        <v>182</v>
      </c>
      <c r="F290" s="31" t="s">
        <v>183</v>
      </c>
      <c r="G290" s="31" t="s">
        <v>445</v>
      </c>
      <c r="H290" s="31" t="str">
        <f>_xlfn.IFNA(VLOOKUP(F290,'Look Table'!B$1:E$64,4,FALSE),"")</f>
        <v>BN3500</v>
      </c>
      <c r="I290" s="41" t="s">
        <v>463</v>
      </c>
      <c r="J290" s="31" t="str">
        <f t="shared" si="4"/>
        <v>LAR_WIL</v>
      </c>
      <c r="K290" s="3" t="str">
        <f>J290&amp;"_"&amp;E290&amp;IF(ISNUMBER(SEARCH("PAS",G290)),"","_")&amp;(_xlfn.TEXTJOIN("_",TRUE,IF(G290 &lt;&gt; "PAS",G290:H290,""))&amp;(IF(Table1[[#This Row],[Sub-Area]]&lt;&gt;"",_xlfn.CONCAT("_",Table1[[#This Row],[Sub-Area]]),"")))</f>
        <v>LAR_WIL_VMS_Bently_BN3500_HTU4_P_2337_Pump</v>
      </c>
      <c r="L290" s="32" t="str">
        <f>IF(I290 &lt;&gt; "",I290&amp;":\PAS\CBR\ProcessedFiles\"&amp;Table1[[#This Row],[Units]]&amp;"\"&amp;Table1[[#This Row],[Asset Type]]&amp;"\"&amp;K290,"")</f>
        <v>D:\PAS\CBR\ProcessedFiles\WIL\VMS\LAR_WIL_VMS_Bently_BN3500_HTU4_P_2337_Pump</v>
      </c>
      <c r="M290" s="33" t="str">
        <f>"MKDIR "&amp;Table1[[#This Row],[Suggested Folder Naming]]</f>
        <v>MKDIR D:\PAS\CBR\ProcessedFiles\WIL\VMS\LAR_WIL_VMS_Bently_BN3500_HTU4_P_2337_Pump</v>
      </c>
    </row>
    <row r="291" spans="1:13" x14ac:dyDescent="0.25">
      <c r="A291" s="21" t="s">
        <v>26</v>
      </c>
      <c r="B291" s="7" t="s">
        <v>584</v>
      </c>
      <c r="C291" s="8" t="s">
        <v>477</v>
      </c>
      <c r="D291" s="19"/>
      <c r="E291" s="30" t="s">
        <v>582</v>
      </c>
      <c r="F291" s="31" t="s">
        <v>583</v>
      </c>
      <c r="G291" s="31" t="str">
        <f>_xlfn.IFNA(VLOOKUP(F291,'[1]Look Table'!B$1:E$75,3,FALSE),"")</f>
        <v>EMR</v>
      </c>
      <c r="H291" s="31" t="str">
        <f>_xlfn.IFNA(VLOOKUP(F291,'[1]Look Table'!B$1:E$75,4,FALSE),"")</f>
        <v>AMS</v>
      </c>
      <c r="I291" s="41" t="s">
        <v>463</v>
      </c>
      <c r="J291" s="31" t="str">
        <f t="shared" si="4"/>
        <v>LAR_CAR</v>
      </c>
      <c r="K291" s="3" t="str">
        <f>J291&amp;"_"&amp;E291&amp;IF(ISNUMBER(SEARCH("PAS",G291)),"","_")&amp;(_xlfn.TEXTJOIN("_",TRUE,IF(G291 &lt;&gt; "PAS",G291:H291,""))&amp;(IF(Table1[[#This Row],[Sub-Area]]&lt;&gt;"",_xlfn.CONCAT("_",Table1[[#This Row],[Sub-Area]]),"")))</f>
        <v>LAR_CAR_AMS_EMR_AMS</v>
      </c>
      <c r="L291" s="32" t="str">
        <f>IF(I291 &lt;&gt; "",I291&amp;":\PAS\CBR\ProcessedFiles\"&amp;Table1[[#This Row],[Units]]&amp;"\"&amp;Table1[[#This Row],[Asset Type]]&amp;"\"&amp;K291,"")</f>
        <v>D:\PAS\CBR\ProcessedFiles\CAR\AMS\LAR_CAR_AMS_EMR_AMS</v>
      </c>
      <c r="M291" s="1" t="str">
        <f>"MKDIR "&amp;Table1[[#This Row],[Suggested Folder Naming]]</f>
        <v>MKDIR D:\PAS\CBR\ProcessedFiles\CAR\AMS\LAR_CAR_AMS_EMR_AMS</v>
      </c>
    </row>
    <row r="292" spans="1:13" x14ac:dyDescent="0.25">
      <c r="A292" s="21"/>
      <c r="B292" s="7" t="s">
        <v>584</v>
      </c>
      <c r="C292" s="8" t="s">
        <v>480</v>
      </c>
      <c r="D292" s="19" t="s">
        <v>210</v>
      </c>
      <c r="E292" s="30" t="s">
        <v>211</v>
      </c>
      <c r="F292" s="31" t="s">
        <v>212</v>
      </c>
      <c r="G292" s="31" t="str">
        <f>_xlfn.IFNA(VLOOKUP(F292,'Look Table'!B$1:E$64,3,FALSE),"")</f>
        <v>GE</v>
      </c>
      <c r="H292" s="31" t="str">
        <f>_xlfn.IFNA(VLOOKUP(F292,'Look Table'!B$1:E$64,4,FALSE),"")</f>
        <v>MarkVIe</v>
      </c>
      <c r="I292" s="41" t="s">
        <v>463</v>
      </c>
      <c r="J292" s="31" t="str">
        <f t="shared" si="4"/>
        <v>LAR_WCC</v>
      </c>
      <c r="K292" s="3" t="str">
        <f>J292&amp;"_"&amp;E292&amp;IF(ISNUMBER(SEARCH("PAS",G292)),"","_")&amp;(_xlfn.TEXTJOIN("_",TRUE,IF(G292 &lt;&gt; "PAS",G292:H292,""))&amp;(IF(Table1[[#This Row],[Sub-Area]]&lt;&gt;"",_xlfn.CONCAT("_",Table1[[#This Row],[Sub-Area]]),"")))</f>
        <v>LAR_WCC_TCS_GE_MarkVIe_Watson</v>
      </c>
      <c r="L292" s="32" t="str">
        <f>IF(I292 &lt;&gt; "",I292&amp;":\PAS\CBR\ProcessedFiles\"&amp;Table1[[#This Row],[Units]]&amp;"\"&amp;Table1[[#This Row],[Asset Type]]&amp;"\"&amp;K292,"")</f>
        <v>D:\PAS\CBR\ProcessedFiles\WCC\TCS\LAR_WCC_TCS_GE_MarkVIe_Watson</v>
      </c>
      <c r="M292" s="33" t="str">
        <f>"MKDIR "&amp;Table1[[#This Row],[Suggested Folder Naming]]</f>
        <v>MKDIR D:\PAS\CBR\ProcessedFiles\WCC\TCS\LAR_WCC_TCS_GE_MarkVIe_Watson</v>
      </c>
    </row>
    <row r="293" spans="1:13" x14ac:dyDescent="0.25">
      <c r="A293" s="21"/>
      <c r="B293" s="7" t="s">
        <v>584</v>
      </c>
      <c r="C293" s="8" t="s">
        <v>477</v>
      </c>
      <c r="D293" s="19" t="s">
        <v>219</v>
      </c>
      <c r="E293" s="30" t="s">
        <v>213</v>
      </c>
      <c r="F293" s="31" t="s">
        <v>214</v>
      </c>
      <c r="G293" s="31" t="s">
        <v>365</v>
      </c>
      <c r="H293" s="31" t="str">
        <f>_xlfn.IFNA(VLOOKUP(F293,'Look Table'!B$1:E$64,4,FALSE),"")</f>
        <v>EPKS</v>
      </c>
      <c r="I293" s="41" t="s">
        <v>463</v>
      </c>
      <c r="J293" s="31" t="str">
        <f t="shared" si="4"/>
        <v>LAR_CAR</v>
      </c>
      <c r="K293" s="3" t="str">
        <f>J293&amp;"_"&amp;E293&amp;IF(ISNUMBER(SEARCH("PAS",G293)),"","_")&amp;(_xlfn.TEXTJOIN("_",TRUE,IF(G293 &lt;&gt; "PAS",G293:H293,""))&amp;(IF(Table1[[#This Row],[Sub-Area]]&lt;&gt;"",_xlfn.CONCAT("_",Table1[[#This Row],[Sub-Area]]),"")))</f>
        <v>LAR_CAR_DCS_HWL_EPKS_ALK</v>
      </c>
      <c r="L293" s="32" t="str">
        <f>IF(I293 &lt;&gt; "",I293&amp;":\PAS\CBR\ProcessedFiles\"&amp;Table1[[#This Row],[Units]]&amp;"\"&amp;Table1[[#This Row],[Asset Type]]&amp;"\"&amp;K293,"")</f>
        <v>D:\PAS\CBR\ProcessedFiles\CAR\DCS\LAR_CAR_DCS_HWL_EPKS_ALK</v>
      </c>
      <c r="M293" s="33" t="str">
        <f>"MKDIR "&amp;Table1[[#This Row],[Suggested Folder Naming]]</f>
        <v>MKDIR D:\PAS\CBR\ProcessedFiles\CAR\DCS\LAR_CAR_DCS_HWL_EPKS_ALK</v>
      </c>
    </row>
    <row r="294" spans="1:13" x14ac:dyDescent="0.25">
      <c r="A294" s="21"/>
      <c r="B294" s="7" t="s">
        <v>584</v>
      </c>
      <c r="C294" s="8" t="s">
        <v>477</v>
      </c>
      <c r="D294" s="19" t="s">
        <v>585</v>
      </c>
      <c r="E294" s="30" t="s">
        <v>213</v>
      </c>
      <c r="F294" s="31" t="s">
        <v>214</v>
      </c>
      <c r="G294" s="31" t="s">
        <v>365</v>
      </c>
      <c r="H294" s="31" t="str">
        <f>_xlfn.IFNA(VLOOKUP(F294,'Look Table'!B$1:E$64,4,FALSE),"")</f>
        <v>EPKS</v>
      </c>
      <c r="I294" s="41" t="s">
        <v>463</v>
      </c>
      <c r="J294" s="31" t="str">
        <f t="shared" si="4"/>
        <v>LAR_CAR</v>
      </c>
      <c r="K294" s="3" t="str">
        <f>J294&amp;"_"&amp;E294&amp;IF(ISNUMBER(SEARCH("PAS",G294)),"","_")&amp;(_xlfn.TEXTJOIN("_",TRUE,IF(G294 &lt;&gt; "PAS",G294:H294,""))&amp;(IF(Table1[[#This Row],[Sub-Area]]&lt;&gt;"",_xlfn.CONCAT("_",Table1[[#This Row],[Sub-Area]]),"")))</f>
        <v>LAR_CAR_DCS_HWL_EPKS_ESVT1</v>
      </c>
      <c r="L294" s="32" t="str">
        <f>IF(I294 &lt;&gt; "",I294&amp;":\PAS\CBR\ProcessedFiles\"&amp;Table1[[#This Row],[Units]]&amp;"\"&amp;Table1[[#This Row],[Asset Type]]&amp;"\"&amp;K294,"")</f>
        <v>D:\PAS\CBR\ProcessedFiles\CAR\DCS\LAR_CAR_DCS_HWL_EPKS_ESVT1</v>
      </c>
      <c r="M294" s="33" t="str">
        <f>"MKDIR "&amp;Table1[[#This Row],[Suggested Folder Naming]]</f>
        <v>MKDIR D:\PAS\CBR\ProcessedFiles\CAR\DCS\LAR_CAR_DCS_HWL_EPKS_ESVT1</v>
      </c>
    </row>
    <row r="295" spans="1:13" x14ac:dyDescent="0.25">
      <c r="A295" s="21"/>
      <c r="B295" s="7" t="s">
        <v>584</v>
      </c>
      <c r="C295" s="8" t="s">
        <v>477</v>
      </c>
      <c r="D295" s="19" t="s">
        <v>586</v>
      </c>
      <c r="E295" s="30" t="s">
        <v>213</v>
      </c>
      <c r="F295" s="31" t="s">
        <v>214</v>
      </c>
      <c r="G295" s="31" t="s">
        <v>365</v>
      </c>
      <c r="H295" s="31" t="str">
        <f>_xlfn.IFNA(VLOOKUP(F295,'Look Table'!B$1:E$64,4,FALSE),"")</f>
        <v>EPKS</v>
      </c>
      <c r="I295" s="41" t="s">
        <v>463</v>
      </c>
      <c r="J295" s="31" t="str">
        <f t="shared" si="4"/>
        <v>LAR_CAR</v>
      </c>
      <c r="K295" s="3" t="str">
        <f>J295&amp;"_"&amp;E295&amp;IF(ISNUMBER(SEARCH("PAS",G295)),"","_")&amp;(_xlfn.TEXTJOIN("_",TRUE,IF(G295 &lt;&gt; "PAS",G295:H295,""))&amp;(IF(Table1[[#This Row],[Sub-Area]]&lt;&gt;"",_xlfn.CONCAT("_",Table1[[#This Row],[Sub-Area]]),"")))</f>
        <v>LAR_CAR_DCS_HWL_EPKS_ESVT3</v>
      </c>
      <c r="L295" s="32" t="str">
        <f>IF(I295 &lt;&gt; "",I295&amp;":\PAS\CBR\ProcessedFiles\"&amp;Table1[[#This Row],[Units]]&amp;"\"&amp;Table1[[#This Row],[Asset Type]]&amp;"\"&amp;K295,"")</f>
        <v>D:\PAS\CBR\ProcessedFiles\CAR\DCS\LAR_CAR_DCS_HWL_EPKS_ESVT3</v>
      </c>
      <c r="M295" s="33" t="str">
        <f>"MKDIR "&amp;Table1[[#This Row],[Suggested Folder Naming]]</f>
        <v>MKDIR D:\PAS\CBR\ProcessedFiles\CAR\DCS\LAR_CAR_DCS_HWL_EPKS_ESVT3</v>
      </c>
    </row>
    <row r="296" spans="1:13" x14ac:dyDescent="0.25">
      <c r="A296" s="21"/>
      <c r="B296" s="7" t="s">
        <v>584</v>
      </c>
      <c r="C296" s="8" t="s">
        <v>477</v>
      </c>
      <c r="D296" s="19" t="s">
        <v>587</v>
      </c>
      <c r="E296" s="30" t="s">
        <v>213</v>
      </c>
      <c r="F296" s="31" t="s">
        <v>214</v>
      </c>
      <c r="G296" s="31" t="s">
        <v>365</v>
      </c>
      <c r="H296" s="31" t="str">
        <f>_xlfn.IFNA(VLOOKUP(F296,'Look Table'!B$1:E$64,4,FALSE),"")</f>
        <v>EPKS</v>
      </c>
      <c r="I296" s="41" t="s">
        <v>463</v>
      </c>
      <c r="J296" s="31" t="str">
        <f t="shared" si="4"/>
        <v>LAR_CAR</v>
      </c>
      <c r="K296" s="3" t="str">
        <f>J296&amp;"_"&amp;E296&amp;IF(ISNUMBER(SEARCH("PAS",G296)),"","_")&amp;(_xlfn.TEXTJOIN("_",TRUE,IF(G296 &lt;&gt; "PAS",G296:H296,""))&amp;(IF(Table1[[#This Row],[Sub-Area]]&lt;&gt;"",_xlfn.CONCAT("_",Table1[[#This Row],[Sub-Area]]),"")))</f>
        <v>LAR_CAR_DCS_HWL_EPKS_ESVT4</v>
      </c>
      <c r="L296" s="32" t="str">
        <f>IF(I296 &lt;&gt; "",I296&amp;":\PAS\CBR\ProcessedFiles\"&amp;Table1[[#This Row],[Units]]&amp;"\"&amp;Table1[[#This Row],[Asset Type]]&amp;"\"&amp;K296,"")</f>
        <v>D:\PAS\CBR\ProcessedFiles\CAR\DCS\LAR_CAR_DCS_HWL_EPKS_ESVT4</v>
      </c>
      <c r="M296" s="33" t="str">
        <f>"MKDIR "&amp;Table1[[#This Row],[Suggested Folder Naming]]</f>
        <v>MKDIR D:\PAS\CBR\ProcessedFiles\CAR\DCS\LAR_CAR_DCS_HWL_EPKS_ESVT4</v>
      </c>
    </row>
    <row r="297" spans="1:13" x14ac:dyDescent="0.25">
      <c r="A297" s="21"/>
      <c r="B297" s="7" t="s">
        <v>584</v>
      </c>
      <c r="C297" s="8" t="s">
        <v>477</v>
      </c>
      <c r="D297" s="19" t="s">
        <v>588</v>
      </c>
      <c r="E297" s="30" t="s">
        <v>213</v>
      </c>
      <c r="F297" s="31" t="s">
        <v>214</v>
      </c>
      <c r="G297" s="31" t="s">
        <v>365</v>
      </c>
      <c r="H297" s="31" t="str">
        <f>_xlfn.IFNA(VLOOKUP(F297,'Look Table'!B$1:E$64,4,FALSE),"")</f>
        <v>EPKS</v>
      </c>
      <c r="I297" s="41" t="s">
        <v>463</v>
      </c>
      <c r="J297" s="31" t="str">
        <f t="shared" si="4"/>
        <v>LAR_CAR</v>
      </c>
      <c r="K297" s="3" t="str">
        <f>J297&amp;"_"&amp;E297&amp;IF(ISNUMBER(SEARCH("PAS",G297)),"","_")&amp;(_xlfn.TEXTJOIN("_",TRUE,IF(G297 &lt;&gt; "PAS",G297:H297,""))&amp;(IF(Table1[[#This Row],[Sub-Area]]&lt;&gt;"",_xlfn.CONCAT("_",Table1[[#This Row],[Sub-Area]]),"")))</f>
        <v>LAR_CAR_DCS_HWL_EPKS_ESVT5</v>
      </c>
      <c r="L297" s="32" t="str">
        <f>IF(I297 &lt;&gt; "",I297&amp;":\PAS\CBR\ProcessedFiles\"&amp;Table1[[#This Row],[Units]]&amp;"\"&amp;Table1[[#This Row],[Asset Type]]&amp;"\"&amp;K297,"")</f>
        <v>D:\PAS\CBR\ProcessedFiles\CAR\DCS\LAR_CAR_DCS_HWL_EPKS_ESVT5</v>
      </c>
      <c r="M297" s="33" t="str">
        <f>"MKDIR "&amp;Table1[[#This Row],[Suggested Folder Naming]]</f>
        <v>MKDIR D:\PAS\CBR\ProcessedFiles\CAR\DCS\LAR_CAR_DCS_HWL_EPKS_ESVT5</v>
      </c>
    </row>
    <row r="298" spans="1:13" x14ac:dyDescent="0.25">
      <c r="A298" s="21"/>
      <c r="B298" s="7" t="s">
        <v>584</v>
      </c>
      <c r="C298" s="8" t="s">
        <v>477</v>
      </c>
      <c r="D298" s="19" t="s">
        <v>589</v>
      </c>
      <c r="E298" s="30" t="s">
        <v>213</v>
      </c>
      <c r="F298" s="31" t="s">
        <v>214</v>
      </c>
      <c r="G298" s="31" t="s">
        <v>365</v>
      </c>
      <c r="H298" s="31" t="str">
        <f>_xlfn.IFNA(VLOOKUP(F298,'Look Table'!B$1:E$64,4,FALSE),"")</f>
        <v>EPKS</v>
      </c>
      <c r="I298" s="41" t="s">
        <v>463</v>
      </c>
      <c r="J298" s="31" t="str">
        <f t="shared" si="4"/>
        <v>LAR_CAR</v>
      </c>
      <c r="K298" s="3" t="str">
        <f>J298&amp;"_"&amp;E298&amp;IF(ISNUMBER(SEARCH("PAS",G298)),"","_")&amp;(_xlfn.TEXTJOIN("_",TRUE,IF(G298 &lt;&gt; "PAS",G298:H298,""))&amp;(IF(Table1[[#This Row],[Sub-Area]]&lt;&gt;"",_xlfn.CONCAT("_",Table1[[#This Row],[Sub-Area]]),"")))</f>
        <v>LAR_CAR_DCS_HWL_EPKS_ESVT6</v>
      </c>
      <c r="L298" s="32" t="str">
        <f>IF(I298 &lt;&gt; "",I298&amp;":\PAS\CBR\ProcessedFiles\"&amp;Table1[[#This Row],[Units]]&amp;"\"&amp;Table1[[#This Row],[Asset Type]]&amp;"\"&amp;K298,"")</f>
        <v>D:\PAS\CBR\ProcessedFiles\CAR\DCS\LAR_CAR_DCS_HWL_EPKS_ESVT6</v>
      </c>
      <c r="M298" s="33" t="str">
        <f>"MKDIR "&amp;Table1[[#This Row],[Suggested Folder Naming]]</f>
        <v>MKDIR D:\PAS\CBR\ProcessedFiles\CAR\DCS\LAR_CAR_DCS_HWL_EPKS_ESVT6</v>
      </c>
    </row>
    <row r="299" spans="1:13" x14ac:dyDescent="0.25">
      <c r="A299" s="21"/>
      <c r="B299" s="7" t="s">
        <v>584</v>
      </c>
      <c r="C299" s="8" t="s">
        <v>477</v>
      </c>
      <c r="D299" s="19" t="s">
        <v>215</v>
      </c>
      <c r="E299" s="30" t="s">
        <v>213</v>
      </c>
      <c r="F299" s="31" t="s">
        <v>214</v>
      </c>
      <c r="G299" s="31" t="s">
        <v>365</v>
      </c>
      <c r="H299" s="31" t="str">
        <f>_xlfn.IFNA(VLOOKUP(F299,'Look Table'!B$1:E$64,4,FALSE),"")</f>
        <v>EPKS</v>
      </c>
      <c r="I299" s="41" t="s">
        <v>463</v>
      </c>
      <c r="J299" s="31" t="str">
        <f t="shared" si="4"/>
        <v>LAR_CAR</v>
      </c>
      <c r="K299" s="3" t="str">
        <f>J299&amp;"_"&amp;E299&amp;IF(ISNUMBER(SEARCH("PAS",G299)),"","_")&amp;(_xlfn.TEXTJOIN("_",TRUE,IF(G299 &lt;&gt; "PAS",G299:H299,""))&amp;(IF(Table1[[#This Row],[Sub-Area]]&lt;&gt;"",_xlfn.CONCAT("_",Table1[[#This Row],[Sub-Area]]),"")))</f>
        <v>LAR_CAR_DCS_HWL_EPKS_HCU</v>
      </c>
      <c r="L299" s="32" t="str">
        <f>IF(I299 &lt;&gt; "",I299&amp;":\PAS\CBR\ProcessedFiles\"&amp;Table1[[#This Row],[Units]]&amp;"\"&amp;Table1[[#This Row],[Asset Type]]&amp;"\"&amp;K299,"")</f>
        <v>D:\PAS\CBR\ProcessedFiles\CAR\DCS\LAR_CAR_DCS_HWL_EPKS_HCU</v>
      </c>
      <c r="M299" s="33" t="str">
        <f>"MKDIR "&amp;Table1[[#This Row],[Suggested Folder Naming]]</f>
        <v>MKDIR D:\PAS\CBR\ProcessedFiles\CAR\DCS\LAR_CAR_DCS_HWL_EPKS_HCU</v>
      </c>
    </row>
    <row r="300" spans="1:13" x14ac:dyDescent="0.25">
      <c r="A300" s="21"/>
      <c r="B300" s="7" t="s">
        <v>584</v>
      </c>
      <c r="C300" s="8" t="s">
        <v>477</v>
      </c>
      <c r="D300" s="19" t="s">
        <v>216</v>
      </c>
      <c r="E300" s="30" t="s">
        <v>213</v>
      </c>
      <c r="F300" s="31" t="s">
        <v>214</v>
      </c>
      <c r="G300" s="31" t="s">
        <v>365</v>
      </c>
      <c r="H300" s="31" t="str">
        <f>_xlfn.IFNA(VLOOKUP(F300,'Look Table'!B$1:E$64,4,FALSE),"")</f>
        <v>EPKS</v>
      </c>
      <c r="I300" s="41" t="s">
        <v>463</v>
      </c>
      <c r="J300" s="31" t="str">
        <f t="shared" si="4"/>
        <v>LAR_CAR</v>
      </c>
      <c r="K300" s="3" t="str">
        <f>J300&amp;"_"&amp;E300&amp;IF(ISNUMBER(SEARCH("PAS",G300)),"","_")&amp;(_xlfn.TEXTJOIN("_",TRUE,IF(G300 &lt;&gt; "PAS",G300:H300,""))&amp;(IF(Table1[[#This Row],[Sub-Area]]&lt;&gt;"",_xlfn.CONCAT("_",Table1[[#This Row],[Sub-Area]]),"")))</f>
        <v>LAR_CAR_DCS_HWL_EPKS_REF1_ESVT</v>
      </c>
      <c r="L300" s="32" t="str">
        <f>IF(I300 &lt;&gt; "",I300&amp;":\PAS\CBR\ProcessedFiles\"&amp;Table1[[#This Row],[Units]]&amp;"\"&amp;Table1[[#This Row],[Asset Type]]&amp;"\"&amp;K300,"")</f>
        <v>D:\PAS\CBR\ProcessedFiles\CAR\DCS\LAR_CAR_DCS_HWL_EPKS_REF1_ESVT</v>
      </c>
      <c r="M300" s="33" t="str">
        <f>"MKDIR "&amp;Table1[[#This Row],[Suggested Folder Naming]]</f>
        <v>MKDIR D:\PAS\CBR\ProcessedFiles\CAR\DCS\LAR_CAR_DCS_HWL_EPKS_REF1_ESVT</v>
      </c>
    </row>
    <row r="301" spans="1:13" x14ac:dyDescent="0.25">
      <c r="A301" s="21"/>
      <c r="B301" s="7" t="s">
        <v>584</v>
      </c>
      <c r="C301" s="8" t="s">
        <v>477</v>
      </c>
      <c r="D301" s="19" t="s">
        <v>218</v>
      </c>
      <c r="E301" s="30" t="s">
        <v>213</v>
      </c>
      <c r="F301" s="31" t="s">
        <v>214</v>
      </c>
      <c r="G301" s="31" t="s">
        <v>365</v>
      </c>
      <c r="H301" s="31" t="str">
        <f>_xlfn.IFNA(VLOOKUP(F301,'Look Table'!B$1:E$64,4,FALSE),"")</f>
        <v>EPKS</v>
      </c>
      <c r="I301" s="41" t="s">
        <v>463</v>
      </c>
      <c r="J301" s="31" t="str">
        <f t="shared" si="4"/>
        <v>LAR_CAR</v>
      </c>
      <c r="K301" s="3" t="str">
        <f>J301&amp;"_"&amp;E301&amp;IF(ISNUMBER(SEARCH("PAS",G301)),"","_")&amp;(_xlfn.TEXTJOIN("_",TRUE,IF(G301 &lt;&gt; "PAS",G301:H301,""))&amp;(IF(Table1[[#This Row],[Sub-Area]]&lt;&gt;"",_xlfn.CONCAT("_",Table1[[#This Row],[Sub-Area]]),"")))</f>
        <v>LAR_CAR_DCS_HWL_EPKS_SCR</v>
      </c>
      <c r="L301" s="32" t="str">
        <f>IF(I301 &lt;&gt; "",I301&amp;":\PAS\CBR\ProcessedFiles\"&amp;Table1[[#This Row],[Units]]&amp;"\"&amp;Table1[[#This Row],[Asset Type]]&amp;"\"&amp;K301,"")</f>
        <v>D:\PAS\CBR\ProcessedFiles\CAR\DCS\LAR_CAR_DCS_HWL_EPKS_SCR</v>
      </c>
      <c r="M301" s="33" t="str">
        <f>"MKDIR "&amp;Table1[[#This Row],[Suggested Folder Naming]]</f>
        <v>MKDIR D:\PAS\CBR\ProcessedFiles\CAR\DCS\LAR_CAR_DCS_HWL_EPKS_SCR</v>
      </c>
    </row>
    <row r="302" spans="1:13" x14ac:dyDescent="0.25">
      <c r="A302" s="21"/>
      <c r="B302" s="7" t="s">
        <v>584</v>
      </c>
      <c r="C302" s="8" t="s">
        <v>477</v>
      </c>
      <c r="D302" s="19" t="s">
        <v>217</v>
      </c>
      <c r="E302" s="30" t="s">
        <v>213</v>
      </c>
      <c r="F302" s="31" t="s">
        <v>214</v>
      </c>
      <c r="G302" s="31" t="s">
        <v>365</v>
      </c>
      <c r="H302" s="31" t="str">
        <f>_xlfn.IFNA(VLOOKUP(F302,'Look Table'!B$1:E$64,4,FALSE),"")</f>
        <v>EPKS</v>
      </c>
      <c r="I302" s="41" t="s">
        <v>463</v>
      </c>
      <c r="J302" s="31" t="str">
        <f t="shared" si="4"/>
        <v>LAR_CAR</v>
      </c>
      <c r="K302" s="3" t="str">
        <f>J302&amp;"_"&amp;E302&amp;IF(ISNUMBER(SEARCH("PAS",G302)),"","_")&amp;(_xlfn.TEXTJOIN("_",TRUE,IF(G302 &lt;&gt; "PAS",G302:H302,""))&amp;(IF(Table1[[#This Row],[Sub-Area]]&lt;&gt;"",_xlfn.CONCAT("_",Table1[[#This Row],[Sub-Area]]),"")))</f>
        <v>LAR_CAR_DCS_HWL_EPKS_SHB</v>
      </c>
      <c r="L302" s="32" t="str">
        <f>IF(I302 &lt;&gt; "",I302&amp;":\PAS\CBR\ProcessedFiles\"&amp;Table1[[#This Row],[Units]]&amp;"\"&amp;Table1[[#This Row],[Asset Type]]&amp;"\"&amp;K302,"")</f>
        <v>D:\PAS\CBR\ProcessedFiles\CAR\DCS\LAR_CAR_DCS_HWL_EPKS_SHB</v>
      </c>
      <c r="M302" s="33" t="str">
        <f>"MKDIR "&amp;Table1[[#This Row],[Suggested Folder Naming]]</f>
        <v>MKDIR D:\PAS\CBR\ProcessedFiles\CAR\DCS\LAR_CAR_DCS_HWL_EPKS_SHB</v>
      </c>
    </row>
    <row r="303" spans="1:13" x14ac:dyDescent="0.25">
      <c r="A303" s="21"/>
      <c r="B303" s="7" t="s">
        <v>584</v>
      </c>
      <c r="C303" s="8" t="s">
        <v>480</v>
      </c>
      <c r="D303" s="19" t="s">
        <v>590</v>
      </c>
      <c r="E303" s="30" t="s">
        <v>213</v>
      </c>
      <c r="F303" s="31" t="s">
        <v>214</v>
      </c>
      <c r="G303" s="31" t="s">
        <v>365</v>
      </c>
      <c r="H303" s="31" t="str">
        <f>_xlfn.IFNA(VLOOKUP(F303,'Look Table'!B$1:E$64,4,FALSE),"")</f>
        <v>EPKS</v>
      </c>
      <c r="I303" s="41" t="s">
        <v>463</v>
      </c>
      <c r="J303" s="31" t="str">
        <f t="shared" si="4"/>
        <v>LAR_WCC</v>
      </c>
      <c r="K303" s="3" t="str">
        <f>J303&amp;"_"&amp;E303&amp;IF(ISNUMBER(SEARCH("PAS",G303)),"","_")&amp;(_xlfn.TEXTJOIN("_",TRUE,IF(G303 &lt;&gt; "PAS",G303:H303,""))&amp;(IF(Table1[[#This Row],[Sub-Area]]&lt;&gt;"",_xlfn.CONCAT("_",Table1[[#This Row],[Sub-Area]]),"")))</f>
        <v>LAR_WCC_DCS_HWL_EPKS_ESVT2</v>
      </c>
      <c r="L303" s="32" t="str">
        <f>IF(I303 &lt;&gt; "",I303&amp;":\PAS\CBR\ProcessedFiles\"&amp;Table1[[#This Row],[Units]]&amp;"\"&amp;Table1[[#This Row],[Asset Type]]&amp;"\"&amp;K303,"")</f>
        <v>D:\PAS\CBR\ProcessedFiles\WCC\DCS\LAR_WCC_DCS_HWL_EPKS_ESVT2</v>
      </c>
      <c r="M303" s="33" t="str">
        <f>"MKDIR "&amp;Table1[[#This Row],[Suggested Folder Naming]]</f>
        <v>MKDIR D:\PAS\CBR\ProcessedFiles\WCC\DCS\LAR_WCC_DCS_HWL_EPKS_ESVT2</v>
      </c>
    </row>
    <row r="304" spans="1:13" x14ac:dyDescent="0.25">
      <c r="A304" s="21"/>
      <c r="B304" s="7" t="s">
        <v>584</v>
      </c>
      <c r="C304" s="8" t="s">
        <v>475</v>
      </c>
      <c r="D304" s="19" t="s">
        <v>220</v>
      </c>
      <c r="E304" s="30" t="s">
        <v>213</v>
      </c>
      <c r="F304" s="31" t="s">
        <v>214</v>
      </c>
      <c r="G304" s="31" t="s">
        <v>365</v>
      </c>
      <c r="H304" s="31" t="str">
        <f>_xlfn.IFNA(VLOOKUP(F304,'Look Table'!B$1:E$64,4,FALSE),"")</f>
        <v>EPKS</v>
      </c>
      <c r="I304" s="41" t="s">
        <v>463</v>
      </c>
      <c r="J304" s="31" t="str">
        <f t="shared" si="4"/>
        <v>LAR_WIL</v>
      </c>
      <c r="K304" s="3" t="str">
        <f>J304&amp;"_"&amp;E304&amp;IF(ISNUMBER(SEARCH("PAS",G304)),"","_")&amp;(_xlfn.TEXTJOIN("_",TRUE,IF(G304 &lt;&gt; "PAS",G304:H304,""))&amp;(IF(Table1[[#This Row],[Sub-Area]]&lt;&gt;"",_xlfn.CONCAT("_",Table1[[#This Row],[Sub-Area]]),"")))</f>
        <v>LAR_WIL_DCS_HWL_EPKS_ALKY</v>
      </c>
      <c r="L304" s="32" t="str">
        <f>IF(I304 &lt;&gt; "",I304&amp;":\PAS\CBR\ProcessedFiles\"&amp;Table1[[#This Row],[Units]]&amp;"\"&amp;Table1[[#This Row],[Asset Type]]&amp;"\"&amp;K304,"")</f>
        <v>D:\PAS\CBR\ProcessedFiles\WIL\DCS\LAR_WIL_DCS_HWL_EPKS_ALKY</v>
      </c>
      <c r="M304" s="33" t="str">
        <f>"MKDIR "&amp;Table1[[#This Row],[Suggested Folder Naming]]</f>
        <v>MKDIR D:\PAS\CBR\ProcessedFiles\WIL\DCS\LAR_WIL_DCS_HWL_EPKS_ALKY</v>
      </c>
    </row>
    <row r="305" spans="1:13" x14ac:dyDescent="0.25">
      <c r="A305" s="21"/>
      <c r="B305" s="7" t="s">
        <v>584</v>
      </c>
      <c r="C305" s="8" t="s">
        <v>475</v>
      </c>
      <c r="D305" s="19" t="s">
        <v>221</v>
      </c>
      <c r="E305" s="30" t="s">
        <v>213</v>
      </c>
      <c r="F305" s="31" t="s">
        <v>214</v>
      </c>
      <c r="G305" s="31" t="s">
        <v>365</v>
      </c>
      <c r="H305" s="31" t="str">
        <f>_xlfn.IFNA(VLOOKUP(F305,'Look Table'!B$1:E$64,4,FALSE),"")</f>
        <v>EPKS</v>
      </c>
      <c r="I305" s="41" t="s">
        <v>463</v>
      </c>
      <c r="J305" s="31" t="str">
        <f t="shared" si="4"/>
        <v>LAR_WIL</v>
      </c>
      <c r="K305" s="3" t="str">
        <f>J305&amp;"_"&amp;E305&amp;IF(ISNUMBER(SEARCH("PAS",G305)),"","_")&amp;(_xlfn.TEXTJOIN("_",TRUE,IF(G305 &lt;&gt; "PAS",G305:H305,""))&amp;(IF(Table1[[#This Row],[Sub-Area]]&lt;&gt;"",_xlfn.CONCAT("_",Table1[[#This Row],[Sub-Area]]),"")))</f>
        <v>LAR_WIL_DCS_HWL_EPKS_CPD</v>
      </c>
      <c r="L305" s="32" t="str">
        <f>IF(I305 &lt;&gt; "",I305&amp;":\PAS\CBR\ProcessedFiles\"&amp;Table1[[#This Row],[Units]]&amp;"\"&amp;Table1[[#This Row],[Asset Type]]&amp;"\"&amp;K305,"")</f>
        <v>D:\PAS\CBR\ProcessedFiles\WIL\DCS\LAR_WIL_DCS_HWL_EPKS_CPD</v>
      </c>
      <c r="M305" s="33" t="str">
        <f>"MKDIR "&amp;Table1[[#This Row],[Suggested Folder Naming]]</f>
        <v>MKDIR D:\PAS\CBR\ProcessedFiles\WIL\DCS\LAR_WIL_DCS_HWL_EPKS_CPD</v>
      </c>
    </row>
    <row r="306" spans="1:13" x14ac:dyDescent="0.25">
      <c r="A306" s="21"/>
      <c r="B306" s="7" t="s">
        <v>584</v>
      </c>
      <c r="C306" s="8" t="s">
        <v>475</v>
      </c>
      <c r="D306" s="19" t="s">
        <v>222</v>
      </c>
      <c r="E306" s="30" t="s">
        <v>213</v>
      </c>
      <c r="F306" s="31" t="s">
        <v>214</v>
      </c>
      <c r="G306" s="31" t="s">
        <v>365</v>
      </c>
      <c r="H306" s="31" t="str">
        <f>_xlfn.IFNA(VLOOKUP(F306,'Look Table'!B$1:E$64,4,FALSE),"")</f>
        <v>EPKS</v>
      </c>
      <c r="I306" s="41" t="s">
        <v>463</v>
      </c>
      <c r="J306" s="31" t="str">
        <f t="shared" si="4"/>
        <v>LAR_WIL</v>
      </c>
      <c r="K306" s="3" t="str">
        <f>J306&amp;"_"&amp;E306&amp;IF(ISNUMBER(SEARCH("PAS",G306)),"","_")&amp;(_xlfn.TEXTJOIN("_",TRUE,IF(G306 &lt;&gt; "PAS",G306:H306,""))&amp;(IF(Table1[[#This Row],[Sub-Area]]&lt;&gt;"",_xlfn.CONCAT("_",Table1[[#This Row],[Sub-Area]]),"")))</f>
        <v>LAR_WIL_DCS_HWL_EPKS_CRU</v>
      </c>
      <c r="L306" s="32" t="str">
        <f>IF(I306 &lt;&gt; "",I306&amp;":\PAS\CBR\ProcessedFiles\"&amp;Table1[[#This Row],[Units]]&amp;"\"&amp;Table1[[#This Row],[Asset Type]]&amp;"\"&amp;K306,"")</f>
        <v>D:\PAS\CBR\ProcessedFiles\WIL\DCS\LAR_WIL_DCS_HWL_EPKS_CRU</v>
      </c>
      <c r="M306" s="33" t="str">
        <f>"MKDIR "&amp;Table1[[#This Row],[Suggested Folder Naming]]</f>
        <v>MKDIR D:\PAS\CBR\ProcessedFiles\WIL\DCS\LAR_WIL_DCS_HWL_EPKS_CRU</v>
      </c>
    </row>
    <row r="307" spans="1:13" x14ac:dyDescent="0.25">
      <c r="A307" s="21"/>
      <c r="B307" s="7" t="s">
        <v>584</v>
      </c>
      <c r="C307" s="8" t="s">
        <v>475</v>
      </c>
      <c r="D307" s="19" t="s">
        <v>223</v>
      </c>
      <c r="E307" s="30" t="s">
        <v>213</v>
      </c>
      <c r="F307" s="31" t="s">
        <v>214</v>
      </c>
      <c r="G307" s="31" t="s">
        <v>365</v>
      </c>
      <c r="H307" s="31" t="str">
        <f>_xlfn.IFNA(VLOOKUP(F307,'Look Table'!B$1:E$64,4,FALSE),"")</f>
        <v>EPKS</v>
      </c>
      <c r="I307" s="41" t="s">
        <v>463</v>
      </c>
      <c r="J307" s="31" t="str">
        <f t="shared" si="4"/>
        <v>LAR_WIL</v>
      </c>
      <c r="K307" s="3" t="str">
        <f>J307&amp;"_"&amp;E307&amp;IF(ISNUMBER(SEARCH("PAS",G307)),"","_")&amp;(_xlfn.TEXTJOIN("_",TRUE,IF(G307 &lt;&gt; "PAS",G307:H307,""))&amp;(IF(Table1[[#This Row],[Sub-Area]]&lt;&gt;"",_xlfn.CONCAT("_",Table1[[#This Row],[Sub-Area]]),"")))</f>
        <v>LAR_WIL_DCS_HWL_EPKS_DCU</v>
      </c>
      <c r="L307" s="32" t="str">
        <f>IF(I307 &lt;&gt; "",I307&amp;":\PAS\CBR\ProcessedFiles\"&amp;Table1[[#This Row],[Units]]&amp;"\"&amp;Table1[[#This Row],[Asset Type]]&amp;"\"&amp;K307,"")</f>
        <v>D:\PAS\CBR\ProcessedFiles\WIL\DCS\LAR_WIL_DCS_HWL_EPKS_DCU</v>
      </c>
      <c r="M307" s="33" t="str">
        <f>"MKDIR "&amp;Table1[[#This Row],[Suggested Folder Naming]]</f>
        <v>MKDIR D:\PAS\CBR\ProcessedFiles\WIL\DCS\LAR_WIL_DCS_HWL_EPKS_DCU</v>
      </c>
    </row>
    <row r="308" spans="1:13" x14ac:dyDescent="0.25">
      <c r="A308" s="21"/>
      <c r="B308" s="7" t="s">
        <v>584</v>
      </c>
      <c r="C308" s="8" t="s">
        <v>475</v>
      </c>
      <c r="D308" s="19" t="s">
        <v>224</v>
      </c>
      <c r="E308" s="30" t="s">
        <v>213</v>
      </c>
      <c r="F308" s="31" t="s">
        <v>214</v>
      </c>
      <c r="G308" s="31" t="s">
        <v>365</v>
      </c>
      <c r="H308" s="31" t="str">
        <f>_xlfn.IFNA(VLOOKUP(F308,'Look Table'!B$1:E$64,4,FALSE),"")</f>
        <v>EPKS</v>
      </c>
      <c r="I308" s="41" t="s">
        <v>463</v>
      </c>
      <c r="J308" s="31" t="str">
        <f t="shared" si="4"/>
        <v>LAR_WIL</v>
      </c>
      <c r="K308" s="3" t="str">
        <f>J308&amp;"_"&amp;E308&amp;IF(ISNUMBER(SEARCH("PAS",G308)),"","_")&amp;(_xlfn.TEXTJOIN("_",TRUE,IF(G308 &lt;&gt; "PAS",G308:H308,""))&amp;(IF(Table1[[#This Row],[Sub-Area]]&lt;&gt;"",_xlfn.CONCAT("_",Table1[[#This Row],[Sub-Area]]),"")))</f>
        <v>LAR_WIL_DCS_HWL_EPKS_ETD</v>
      </c>
      <c r="L308" s="32" t="str">
        <f>IF(I308 &lt;&gt; "",I308&amp;":\PAS\CBR\ProcessedFiles\"&amp;Table1[[#This Row],[Units]]&amp;"\"&amp;Table1[[#This Row],[Asset Type]]&amp;"\"&amp;K308,"")</f>
        <v>D:\PAS\CBR\ProcessedFiles\WIL\DCS\LAR_WIL_DCS_HWL_EPKS_ETD</v>
      </c>
      <c r="M308" s="33" t="str">
        <f>"MKDIR "&amp;Table1[[#This Row],[Suggested Folder Naming]]</f>
        <v>MKDIR D:\PAS\CBR\ProcessedFiles\WIL\DCS\LAR_WIL_DCS_HWL_EPKS_ETD</v>
      </c>
    </row>
    <row r="309" spans="1:13" x14ac:dyDescent="0.25">
      <c r="A309" s="21"/>
      <c r="B309" s="7" t="s">
        <v>584</v>
      </c>
      <c r="C309" s="8" t="s">
        <v>475</v>
      </c>
      <c r="D309" s="19" t="s">
        <v>215</v>
      </c>
      <c r="E309" s="30" t="s">
        <v>213</v>
      </c>
      <c r="F309" s="31" t="s">
        <v>214</v>
      </c>
      <c r="G309" s="31" t="s">
        <v>365</v>
      </c>
      <c r="H309" s="31" t="str">
        <f>_xlfn.IFNA(VLOOKUP(F309,'Look Table'!B$1:E$64,4,FALSE),"")</f>
        <v>EPKS</v>
      </c>
      <c r="I309" s="41" t="s">
        <v>463</v>
      </c>
      <c r="J309" s="31" t="str">
        <f t="shared" si="4"/>
        <v>LAR_WIL</v>
      </c>
      <c r="K309" s="3" t="str">
        <f>J309&amp;"_"&amp;E309&amp;IF(ISNUMBER(SEARCH("PAS",G309)),"","_")&amp;(_xlfn.TEXTJOIN("_",TRUE,IF(G309 &lt;&gt; "PAS",G309:H309,""))&amp;(IF(Table1[[#This Row],[Sub-Area]]&lt;&gt;"",_xlfn.CONCAT("_",Table1[[#This Row],[Sub-Area]]),"")))</f>
        <v>LAR_WIL_DCS_HWL_EPKS_HCU</v>
      </c>
      <c r="L309" s="32" t="str">
        <f>IF(I309 &lt;&gt; "",I309&amp;":\PAS\CBR\ProcessedFiles\"&amp;Table1[[#This Row],[Units]]&amp;"\"&amp;Table1[[#This Row],[Asset Type]]&amp;"\"&amp;K309,"")</f>
        <v>D:\PAS\CBR\ProcessedFiles\WIL\DCS\LAR_WIL_DCS_HWL_EPKS_HCU</v>
      </c>
      <c r="M309" s="33" t="str">
        <f>"MKDIR "&amp;Table1[[#This Row],[Suggested Folder Naming]]</f>
        <v>MKDIR D:\PAS\CBR\ProcessedFiles\WIL\DCS\LAR_WIL_DCS_HWL_EPKS_HCU</v>
      </c>
    </row>
    <row r="310" spans="1:13" x14ac:dyDescent="0.25">
      <c r="A310" s="21"/>
      <c r="B310" s="7" t="s">
        <v>584</v>
      </c>
      <c r="C310" s="8" t="s">
        <v>475</v>
      </c>
      <c r="D310" s="19" t="s">
        <v>225</v>
      </c>
      <c r="E310" s="30" t="s">
        <v>213</v>
      </c>
      <c r="F310" s="31" t="s">
        <v>214</v>
      </c>
      <c r="G310" s="31" t="s">
        <v>365</v>
      </c>
      <c r="H310" s="31" t="str">
        <f>_xlfn.IFNA(VLOOKUP(F310,'Look Table'!B$1:E$64,4,FALSE),"")</f>
        <v>EPKS</v>
      </c>
      <c r="I310" s="41" t="s">
        <v>463</v>
      </c>
      <c r="J310" s="31" t="str">
        <f t="shared" si="4"/>
        <v>LAR_WIL</v>
      </c>
      <c r="K310" s="3" t="str">
        <f>J310&amp;"_"&amp;E310&amp;IF(ISNUMBER(SEARCH("PAS",G310)),"","_")&amp;(_xlfn.TEXTJOIN("_",TRUE,IF(G310 &lt;&gt; "PAS",G310:H310,""))&amp;(IF(Table1[[#This Row],[Sub-Area]]&lt;&gt;"",_xlfn.CONCAT("_",Table1[[#This Row],[Sub-Area]]),"")))</f>
        <v>LAR_WIL_DCS_HWL_EPKS_HTU</v>
      </c>
      <c r="L310" s="32" t="str">
        <f>IF(I310 &lt;&gt; "",I310&amp;":\PAS\CBR\ProcessedFiles\"&amp;Table1[[#This Row],[Units]]&amp;"\"&amp;Table1[[#This Row],[Asset Type]]&amp;"\"&amp;K310,"")</f>
        <v>D:\PAS\CBR\ProcessedFiles\WIL\DCS\LAR_WIL_DCS_HWL_EPKS_HTU</v>
      </c>
      <c r="M310" s="33" t="str">
        <f>"MKDIR "&amp;Table1[[#This Row],[Suggested Folder Naming]]</f>
        <v>MKDIR D:\PAS\CBR\ProcessedFiles\WIL\DCS\LAR_WIL_DCS_HWL_EPKS_HTU</v>
      </c>
    </row>
    <row r="311" spans="1:13" x14ac:dyDescent="0.25">
      <c r="A311" s="21"/>
      <c r="B311" s="7" t="s">
        <v>584</v>
      </c>
      <c r="C311" s="8" t="s">
        <v>475</v>
      </c>
      <c r="D311" s="19" t="s">
        <v>226</v>
      </c>
      <c r="E311" s="30" t="s">
        <v>213</v>
      </c>
      <c r="F311" s="31" t="s">
        <v>214</v>
      </c>
      <c r="G311" s="31" t="s">
        <v>365</v>
      </c>
      <c r="H311" s="31" t="str">
        <f>_xlfn.IFNA(VLOOKUP(F311,'Look Table'!B$1:E$64,4,FALSE),"")</f>
        <v>EPKS</v>
      </c>
      <c r="I311" s="41" t="s">
        <v>463</v>
      </c>
      <c r="J311" s="31" t="str">
        <f t="shared" si="4"/>
        <v>LAR_WIL</v>
      </c>
      <c r="K311" s="3" t="str">
        <f>J311&amp;"_"&amp;E311&amp;IF(ISNUMBER(SEARCH("PAS",G311)),"","_")&amp;(_xlfn.TEXTJOIN("_",TRUE,IF(G311 &lt;&gt; "PAS",G311:H311,""))&amp;(IF(Table1[[#This Row],[Sub-Area]]&lt;&gt;"",_xlfn.CONCAT("_",Table1[[#This Row],[Sub-Area]]),"")))</f>
        <v>LAR_WIL_DCS_HWL_EPKS_RPS</v>
      </c>
      <c r="L311" s="32" t="str">
        <f>IF(I311 &lt;&gt; "",I311&amp;":\PAS\CBR\ProcessedFiles\"&amp;Table1[[#This Row],[Units]]&amp;"\"&amp;Table1[[#This Row],[Asset Type]]&amp;"\"&amp;K311,"")</f>
        <v>D:\PAS\CBR\ProcessedFiles\WIL\DCS\LAR_WIL_DCS_HWL_EPKS_RPS</v>
      </c>
      <c r="M311" s="33" t="str">
        <f>"MKDIR "&amp;Table1[[#This Row],[Suggested Folder Naming]]</f>
        <v>MKDIR D:\PAS\CBR\ProcessedFiles\WIL\DCS\LAR_WIL_DCS_HWL_EPKS_RPS</v>
      </c>
    </row>
    <row r="312" spans="1:13" x14ac:dyDescent="0.25">
      <c r="A312" s="21"/>
      <c r="B312" s="7" t="s">
        <v>584</v>
      </c>
      <c r="C312" s="8" t="s">
        <v>475</v>
      </c>
      <c r="D312" s="19" t="s">
        <v>227</v>
      </c>
      <c r="E312" s="30" t="s">
        <v>213</v>
      </c>
      <c r="F312" s="31" t="s">
        <v>214</v>
      </c>
      <c r="G312" s="31" t="s">
        <v>365</v>
      </c>
      <c r="H312" s="31" t="str">
        <f>_xlfn.IFNA(VLOOKUP(F312,'Look Table'!B$1:E$64,4,FALSE),"")</f>
        <v>EPKS</v>
      </c>
      <c r="I312" s="41" t="s">
        <v>463</v>
      </c>
      <c r="J312" s="31" t="str">
        <f t="shared" si="4"/>
        <v>LAR_WIL</v>
      </c>
      <c r="K312" s="3" t="str">
        <f>J312&amp;"_"&amp;E312&amp;IF(ISNUMBER(SEARCH("PAS",G312)),"","_")&amp;(_xlfn.TEXTJOIN("_",TRUE,IF(G312 &lt;&gt; "PAS",G312:H312,""))&amp;(IF(Table1[[#This Row],[Sub-Area]]&lt;&gt;"",_xlfn.CONCAT("_",Table1[[#This Row],[Sub-Area]]),"")))</f>
        <v>LAR_WIL_DCS_HWL_EPKS_SPW</v>
      </c>
      <c r="L312" s="32" t="str">
        <f>IF(I312 &lt;&gt; "",I312&amp;":\PAS\CBR\ProcessedFiles\"&amp;Table1[[#This Row],[Units]]&amp;"\"&amp;Table1[[#This Row],[Asset Type]]&amp;"\"&amp;K312,"")</f>
        <v>D:\PAS\CBR\ProcessedFiles\WIL\DCS\LAR_WIL_DCS_HWL_EPKS_SPW</v>
      </c>
      <c r="M312" s="33" t="str">
        <f>"MKDIR "&amp;Table1[[#This Row],[Suggested Folder Naming]]</f>
        <v>MKDIR D:\PAS\CBR\ProcessedFiles\WIL\DCS\LAR_WIL_DCS_HWL_EPKS_SPW</v>
      </c>
    </row>
    <row r="313" spans="1:13" x14ac:dyDescent="0.25">
      <c r="A313" s="21"/>
      <c r="B313" s="7" t="s">
        <v>584</v>
      </c>
      <c r="C313" s="8" t="s">
        <v>475</v>
      </c>
      <c r="D313" s="19" t="s">
        <v>228</v>
      </c>
      <c r="E313" s="30" t="s">
        <v>213</v>
      </c>
      <c r="F313" s="31" t="s">
        <v>214</v>
      </c>
      <c r="G313" s="31" t="s">
        <v>365</v>
      </c>
      <c r="H313" s="31" t="str">
        <f>_xlfn.IFNA(VLOOKUP(F313,'Look Table'!B$1:E$64,4,FALSE),"")</f>
        <v>EPKS</v>
      </c>
      <c r="I313" s="41" t="s">
        <v>463</v>
      </c>
      <c r="J313" s="31" t="str">
        <f t="shared" si="4"/>
        <v>LAR_WIL</v>
      </c>
      <c r="K313" s="3" t="str">
        <f>J313&amp;"_"&amp;E313&amp;IF(ISNUMBER(SEARCH("PAS",G313)),"","_")&amp;(_xlfn.TEXTJOIN("_",TRUE,IF(G313 &lt;&gt; "PAS",G313:H313,""))&amp;(IF(Table1[[#This Row],[Sub-Area]]&lt;&gt;"",_xlfn.CONCAT("_",Table1[[#This Row],[Sub-Area]]),"")))</f>
        <v>LAR_WIL_DCS_HWL_EPKS_SRP</v>
      </c>
      <c r="L313" s="32" t="str">
        <f>IF(I313 &lt;&gt; "",I313&amp;":\PAS\CBR\ProcessedFiles\"&amp;Table1[[#This Row],[Units]]&amp;"\"&amp;Table1[[#This Row],[Asset Type]]&amp;"\"&amp;K313,"")</f>
        <v>D:\PAS\CBR\ProcessedFiles\WIL\DCS\LAR_WIL_DCS_HWL_EPKS_SRP</v>
      </c>
      <c r="M313" s="33" t="str">
        <f>"MKDIR "&amp;Table1[[#This Row],[Suggested Folder Naming]]</f>
        <v>MKDIR D:\PAS\CBR\ProcessedFiles\WIL\DCS\LAR_WIL_DCS_HWL_EPKS_SRP</v>
      </c>
    </row>
    <row r="314" spans="1:13" x14ac:dyDescent="0.25">
      <c r="A314" s="21"/>
      <c r="B314" s="7" t="s">
        <v>584</v>
      </c>
      <c r="C314" s="8" t="s">
        <v>475</v>
      </c>
      <c r="D314" s="19" t="s">
        <v>229</v>
      </c>
      <c r="E314" s="30" t="s">
        <v>230</v>
      </c>
      <c r="F314" s="31" t="s">
        <v>231</v>
      </c>
      <c r="G314" s="31" t="str">
        <f>_xlfn.IFNA(VLOOKUP(F314,'[2]Look Table'!B$1:E$64,3,FALSE),"")</f>
        <v>HWL</v>
      </c>
      <c r="H314" s="31" t="str">
        <f>_xlfn.IFNA(VLOOKUP(F314,'[2]Look Table'!B$1:E$64,4,FALSE),"")</f>
        <v>SM</v>
      </c>
      <c r="I314" s="41" t="s">
        <v>463</v>
      </c>
      <c r="J314" s="31" t="str">
        <f t="shared" si="4"/>
        <v>LAR_WIL</v>
      </c>
      <c r="K314" s="3" t="str">
        <f>J314&amp;"_"&amp;E314&amp;IF(ISNUMBER(SEARCH("PAS",G314)),"","_")&amp;(_xlfn.TEXTJOIN("_",TRUE,IF(G314 &lt;&gt; "PAS",G314:H314,""))&amp;(IF(Table1[[#This Row],[Sub-Area]]&lt;&gt;"",_xlfn.CONCAT("_",Table1[[#This Row],[Sub-Area]]),"")))</f>
        <v>LAR_WIL_SIS_HWL_SM_02_IPS_01</v>
      </c>
      <c r="L314" s="32" t="str">
        <f>IF(I314 &lt;&gt; "",I314&amp;":\PAS\CBR\ProcessedFiles\"&amp;Table1[[#This Row],[Units]]&amp;"\"&amp;Table1[[#This Row],[Asset Type]]&amp;"\"&amp;K314,"")</f>
        <v>D:\PAS\CBR\ProcessedFiles\WIL\SIS\LAR_WIL_SIS_HWL_SM_02_IPS_01</v>
      </c>
      <c r="M314" s="33" t="str">
        <f>"MKDIR "&amp;Table1[[#This Row],[Suggested Folder Naming]]</f>
        <v>MKDIR D:\PAS\CBR\ProcessedFiles\WIL\SIS\LAR_WIL_SIS_HWL_SM_02_IPS_01</v>
      </c>
    </row>
    <row r="315" spans="1:13" x14ac:dyDescent="0.25">
      <c r="A315" s="21"/>
      <c r="B315" s="7" t="s">
        <v>584</v>
      </c>
      <c r="C315" s="8" t="s">
        <v>475</v>
      </c>
      <c r="D315" s="19" t="s">
        <v>232</v>
      </c>
      <c r="E315" s="30" t="s">
        <v>230</v>
      </c>
      <c r="F315" s="31" t="s">
        <v>231</v>
      </c>
      <c r="G315" s="31" t="str">
        <f>_xlfn.IFNA(VLOOKUP(F315,'[2]Look Table'!B$1:E$64,3,FALSE),"")</f>
        <v>HWL</v>
      </c>
      <c r="H315" s="31" t="str">
        <f>_xlfn.IFNA(VLOOKUP(F315,'[2]Look Table'!B$1:E$64,4,FALSE),"")</f>
        <v>SM</v>
      </c>
      <c r="I315" s="41" t="s">
        <v>463</v>
      </c>
      <c r="J315" s="31" t="str">
        <f t="shared" si="4"/>
        <v>LAR_WIL</v>
      </c>
      <c r="K315" s="3" t="str">
        <f>J315&amp;"_"&amp;E315&amp;IF(ISNUMBER(SEARCH("PAS",G315)),"","_")&amp;(_xlfn.TEXTJOIN("_",TRUE,IF(G315 &lt;&gt; "PAS",G315:H315,""))&amp;(IF(Table1[[#This Row],[Sub-Area]]&lt;&gt;"",_xlfn.CONCAT("_",Table1[[#This Row],[Sub-Area]]),"")))</f>
        <v>LAR_WIL_SIS_HWL_SM_03_IPS_01</v>
      </c>
      <c r="L315" s="32" t="str">
        <f>IF(I315 &lt;&gt; "",I315&amp;":\PAS\CBR\ProcessedFiles\"&amp;Table1[[#This Row],[Units]]&amp;"\"&amp;Table1[[#This Row],[Asset Type]]&amp;"\"&amp;K315,"")</f>
        <v>D:\PAS\CBR\ProcessedFiles\WIL\SIS\LAR_WIL_SIS_HWL_SM_03_IPS_01</v>
      </c>
      <c r="M315" s="33" t="str">
        <f>"MKDIR "&amp;Table1[[#This Row],[Suggested Folder Naming]]</f>
        <v>MKDIR D:\PAS\CBR\ProcessedFiles\WIL\SIS\LAR_WIL_SIS_HWL_SM_03_IPS_01</v>
      </c>
    </row>
    <row r="316" spans="1:13" x14ac:dyDescent="0.25">
      <c r="A316" s="21"/>
      <c r="B316" s="7" t="s">
        <v>584</v>
      </c>
      <c r="C316" s="8" t="s">
        <v>475</v>
      </c>
      <c r="D316" s="19" t="s">
        <v>233</v>
      </c>
      <c r="E316" s="30" t="s">
        <v>230</v>
      </c>
      <c r="F316" s="31" t="s">
        <v>231</v>
      </c>
      <c r="G316" s="31" t="str">
        <f>_xlfn.IFNA(VLOOKUP(F316,'[2]Look Table'!B$1:E$64,3,FALSE),"")</f>
        <v>HWL</v>
      </c>
      <c r="H316" s="31" t="str">
        <f>_xlfn.IFNA(VLOOKUP(F316,'[2]Look Table'!B$1:E$64,4,FALSE),"")</f>
        <v>SM</v>
      </c>
      <c r="I316" s="41" t="s">
        <v>463</v>
      </c>
      <c r="J316" s="31" t="str">
        <f t="shared" si="4"/>
        <v>LAR_WIL</v>
      </c>
      <c r="K316" s="3" t="str">
        <f>J316&amp;"_"&amp;E316&amp;IF(ISNUMBER(SEARCH("PAS",G316)),"","_")&amp;(_xlfn.TEXTJOIN("_",TRUE,IF(G316 &lt;&gt; "PAS",G316:H316,""))&amp;(IF(Table1[[#This Row],[Sub-Area]]&lt;&gt;"",_xlfn.CONCAT("_",Table1[[#This Row],[Sub-Area]]),"")))</f>
        <v>LAR_WIL_SIS_HWL_SM_05_IPS_01_02</v>
      </c>
      <c r="L316" s="32" t="str">
        <f>IF(I316 &lt;&gt; "",I316&amp;":\PAS\CBR\ProcessedFiles\"&amp;Table1[[#This Row],[Units]]&amp;"\"&amp;Table1[[#This Row],[Asset Type]]&amp;"\"&amp;K316,"")</f>
        <v>D:\PAS\CBR\ProcessedFiles\WIL\SIS\LAR_WIL_SIS_HWL_SM_05_IPS_01_02</v>
      </c>
      <c r="M316" s="33" t="str">
        <f>"MKDIR "&amp;Table1[[#This Row],[Suggested Folder Naming]]</f>
        <v>MKDIR D:\PAS\CBR\ProcessedFiles\WIL\SIS\LAR_WIL_SIS_HWL_SM_05_IPS_01_02</v>
      </c>
    </row>
    <row r="317" spans="1:13" x14ac:dyDescent="0.25">
      <c r="A317" s="21"/>
      <c r="B317" s="7" t="s">
        <v>584</v>
      </c>
      <c r="C317" s="8" t="s">
        <v>475</v>
      </c>
      <c r="D317" s="19" t="s">
        <v>234</v>
      </c>
      <c r="E317" s="30" t="s">
        <v>230</v>
      </c>
      <c r="F317" s="31" t="s">
        <v>231</v>
      </c>
      <c r="G317" s="31" t="str">
        <f>_xlfn.IFNA(VLOOKUP(F317,'[2]Look Table'!B$1:E$64,3,FALSE),"")</f>
        <v>HWL</v>
      </c>
      <c r="H317" s="31" t="str">
        <f>_xlfn.IFNA(VLOOKUP(F317,'[2]Look Table'!B$1:E$64,4,FALSE),"")</f>
        <v>SM</v>
      </c>
      <c r="I317" s="41" t="s">
        <v>463</v>
      </c>
      <c r="J317" s="31" t="str">
        <f t="shared" si="4"/>
        <v>LAR_WIL</v>
      </c>
      <c r="K317" s="3" t="str">
        <f>J317&amp;"_"&amp;E317&amp;IF(ISNUMBER(SEARCH("PAS",G317)),"","_")&amp;(_xlfn.TEXTJOIN("_",TRUE,IF(G317 &lt;&gt; "PAS",G317:H317,""))&amp;(IF(Table1[[#This Row],[Sub-Area]]&lt;&gt;"",_xlfn.CONCAT("_",Table1[[#This Row],[Sub-Area]]),"")))</f>
        <v>LAR_WIL_SIS_HWL_SM_06_IPS_01</v>
      </c>
      <c r="L317" s="32" t="str">
        <f>IF(I317 &lt;&gt; "",I317&amp;":\PAS\CBR\ProcessedFiles\"&amp;Table1[[#This Row],[Units]]&amp;"\"&amp;Table1[[#This Row],[Asset Type]]&amp;"\"&amp;K317,"")</f>
        <v>D:\PAS\CBR\ProcessedFiles\WIL\SIS\LAR_WIL_SIS_HWL_SM_06_IPS_01</v>
      </c>
      <c r="M317" s="33" t="str">
        <f>"MKDIR "&amp;Table1[[#This Row],[Suggested Folder Naming]]</f>
        <v>MKDIR D:\PAS\CBR\ProcessedFiles\WIL\SIS\LAR_WIL_SIS_HWL_SM_06_IPS_01</v>
      </c>
    </row>
    <row r="318" spans="1:13" x14ac:dyDescent="0.25">
      <c r="A318" s="21"/>
      <c r="B318" s="7" t="s">
        <v>584</v>
      </c>
      <c r="C318" s="8" t="s">
        <v>475</v>
      </c>
      <c r="D318" s="19" t="s">
        <v>235</v>
      </c>
      <c r="E318" s="30" t="s">
        <v>230</v>
      </c>
      <c r="F318" s="31" t="s">
        <v>231</v>
      </c>
      <c r="G318" s="31" t="str">
        <f>_xlfn.IFNA(VLOOKUP(F318,'[2]Look Table'!B$1:E$64,3,FALSE),"")</f>
        <v>HWL</v>
      </c>
      <c r="H318" s="31" t="str">
        <f>_xlfn.IFNA(VLOOKUP(F318,'[2]Look Table'!B$1:E$64,4,FALSE),"")</f>
        <v>SM</v>
      </c>
      <c r="I318" s="41" t="s">
        <v>463</v>
      </c>
      <c r="J318" s="31" t="str">
        <f t="shared" si="4"/>
        <v>LAR_WIL</v>
      </c>
      <c r="K318" s="3" t="str">
        <f>J318&amp;"_"&amp;E318&amp;IF(ISNUMBER(SEARCH("PAS",G318)),"","_")&amp;(_xlfn.TEXTJOIN("_",TRUE,IF(G318 &lt;&gt; "PAS",G318:H318,""))&amp;(IF(Table1[[#This Row],[Sub-Area]]&lt;&gt;"",_xlfn.CONCAT("_",Table1[[#This Row],[Sub-Area]]),"")))</f>
        <v>LAR_WIL_SIS_HWL_SM_14_IPS_01</v>
      </c>
      <c r="L318" s="32" t="str">
        <f>IF(I318 &lt;&gt; "",I318&amp;":\PAS\CBR\ProcessedFiles\"&amp;Table1[[#This Row],[Units]]&amp;"\"&amp;Table1[[#This Row],[Asset Type]]&amp;"\"&amp;K318,"")</f>
        <v>D:\PAS\CBR\ProcessedFiles\WIL\SIS\LAR_WIL_SIS_HWL_SM_14_IPS_01</v>
      </c>
      <c r="M318" s="33" t="str">
        <f>"MKDIR "&amp;Table1[[#This Row],[Suggested Folder Naming]]</f>
        <v>MKDIR D:\PAS\CBR\ProcessedFiles\WIL\SIS\LAR_WIL_SIS_HWL_SM_14_IPS_01</v>
      </c>
    </row>
    <row r="319" spans="1:13" x14ac:dyDescent="0.25">
      <c r="A319" s="21"/>
      <c r="B319" s="7" t="s">
        <v>584</v>
      </c>
      <c r="C319" s="8" t="s">
        <v>475</v>
      </c>
      <c r="D319" s="19" t="s">
        <v>236</v>
      </c>
      <c r="E319" s="30" t="s">
        <v>230</v>
      </c>
      <c r="F319" s="31" t="s">
        <v>231</v>
      </c>
      <c r="G319" s="31" t="str">
        <f>_xlfn.IFNA(VLOOKUP(F319,'[2]Look Table'!B$1:E$64,3,FALSE),"")</f>
        <v>HWL</v>
      </c>
      <c r="H319" s="31" t="str">
        <f>_xlfn.IFNA(VLOOKUP(F319,'[2]Look Table'!B$1:E$64,4,FALSE),"")</f>
        <v>SM</v>
      </c>
      <c r="I319" s="41" t="s">
        <v>463</v>
      </c>
      <c r="J319" s="31" t="str">
        <f t="shared" si="4"/>
        <v>LAR_WIL</v>
      </c>
      <c r="K319" s="3" t="str">
        <f>J319&amp;"_"&amp;E319&amp;IF(ISNUMBER(SEARCH("PAS",G319)),"","_")&amp;(_xlfn.TEXTJOIN("_",TRUE,IF(G319 &lt;&gt; "PAS",G319:H319,""))&amp;(IF(Table1[[#This Row],[Sub-Area]]&lt;&gt;"",_xlfn.CONCAT("_",Table1[[#This Row],[Sub-Area]]),"")))</f>
        <v>LAR_WIL_SIS_HWL_SM_43_IPS_01</v>
      </c>
      <c r="L319" s="32" t="str">
        <f>IF(I319 &lt;&gt; "",I319&amp;":\PAS\CBR\ProcessedFiles\"&amp;Table1[[#This Row],[Units]]&amp;"\"&amp;Table1[[#This Row],[Asset Type]]&amp;"\"&amp;K319,"")</f>
        <v>D:\PAS\CBR\ProcessedFiles\WIL\SIS\LAR_WIL_SIS_HWL_SM_43_IPS_01</v>
      </c>
      <c r="M319" s="33" t="str">
        <f>"MKDIR "&amp;Table1[[#This Row],[Suggested Folder Naming]]</f>
        <v>MKDIR D:\PAS\CBR\ProcessedFiles\WIL\SIS\LAR_WIL_SIS_HWL_SM_43_IPS_01</v>
      </c>
    </row>
    <row r="320" spans="1:13" x14ac:dyDescent="0.25">
      <c r="A320" s="21"/>
      <c r="B320" s="7" t="s">
        <v>584</v>
      </c>
      <c r="C320" s="8" t="s">
        <v>475</v>
      </c>
      <c r="D320" s="19" t="s">
        <v>237</v>
      </c>
      <c r="E320" s="30" t="s">
        <v>230</v>
      </c>
      <c r="F320" s="31" t="s">
        <v>231</v>
      </c>
      <c r="G320" s="31" t="str">
        <f>_xlfn.IFNA(VLOOKUP(F320,'[2]Look Table'!B$1:E$64,3,FALSE),"")</f>
        <v>HWL</v>
      </c>
      <c r="H320" s="31" t="str">
        <f>_xlfn.IFNA(VLOOKUP(F320,'[2]Look Table'!B$1:E$64,4,FALSE),"")</f>
        <v>SM</v>
      </c>
      <c r="I320" s="41" t="s">
        <v>463</v>
      </c>
      <c r="J320" s="31" t="str">
        <f t="shared" si="4"/>
        <v>LAR_WIL</v>
      </c>
      <c r="K320" s="3" t="str">
        <f>J320&amp;"_"&amp;E320&amp;IF(ISNUMBER(SEARCH("PAS",G320)),"","_")&amp;(_xlfn.TEXTJOIN("_",TRUE,IF(G320 &lt;&gt; "PAS",G320:H320,""))&amp;(IF(Table1[[#This Row],[Sub-Area]]&lt;&gt;"",_xlfn.CONCAT("_",Table1[[#This Row],[Sub-Area]]),"")))</f>
        <v>LAR_WIL_SIS_HWL_SM_81_IPS_01_B10</v>
      </c>
      <c r="L320" s="32" t="str">
        <f>IF(I320 &lt;&gt; "",I320&amp;":\PAS\CBR\ProcessedFiles\"&amp;Table1[[#This Row],[Units]]&amp;"\"&amp;Table1[[#This Row],[Asset Type]]&amp;"\"&amp;K320,"")</f>
        <v>D:\PAS\CBR\ProcessedFiles\WIL\SIS\LAR_WIL_SIS_HWL_SM_81_IPS_01_B10</v>
      </c>
      <c r="M320" s="33" t="str">
        <f>"MKDIR "&amp;Table1[[#This Row],[Suggested Folder Naming]]</f>
        <v>MKDIR D:\PAS\CBR\ProcessedFiles\WIL\SIS\LAR_WIL_SIS_HWL_SM_81_IPS_01_B10</v>
      </c>
    </row>
    <row r="321" spans="1:13" x14ac:dyDescent="0.25">
      <c r="A321" s="21"/>
      <c r="B321" s="7" t="s">
        <v>584</v>
      </c>
      <c r="C321" s="8" t="s">
        <v>475</v>
      </c>
      <c r="D321" s="19" t="s">
        <v>238</v>
      </c>
      <c r="E321" s="30" t="s">
        <v>230</v>
      </c>
      <c r="F321" s="31" t="s">
        <v>231</v>
      </c>
      <c r="G321" s="31" t="str">
        <f>_xlfn.IFNA(VLOOKUP(F321,'[2]Look Table'!B$1:E$64,3,FALSE),"")</f>
        <v>HWL</v>
      </c>
      <c r="H321" s="31" t="str">
        <f>_xlfn.IFNA(VLOOKUP(F321,'[2]Look Table'!B$1:E$64,4,FALSE),"")</f>
        <v>SM</v>
      </c>
      <c r="I321" s="41" t="s">
        <v>463</v>
      </c>
      <c r="J321" s="31" t="str">
        <f t="shared" si="4"/>
        <v>LAR_WIL</v>
      </c>
      <c r="K321" s="3" t="str">
        <f>J321&amp;"_"&amp;E321&amp;IF(ISNUMBER(SEARCH("PAS",G321)),"","_")&amp;(_xlfn.TEXTJOIN("_",TRUE,IF(G321 &lt;&gt; "PAS",G321:H321,""))&amp;(IF(Table1[[#This Row],[Sub-Area]]&lt;&gt;"",_xlfn.CONCAT("_",Table1[[#This Row],[Sub-Area]]),"")))</f>
        <v>LAR_WIL_SIS_HWL_SM_81_IPS_01_BO7</v>
      </c>
      <c r="L321" s="32" t="str">
        <f>IF(I321 &lt;&gt; "",I321&amp;":\PAS\CBR\ProcessedFiles\"&amp;Table1[[#This Row],[Units]]&amp;"\"&amp;Table1[[#This Row],[Asset Type]]&amp;"\"&amp;K321,"")</f>
        <v>D:\PAS\CBR\ProcessedFiles\WIL\SIS\LAR_WIL_SIS_HWL_SM_81_IPS_01_BO7</v>
      </c>
      <c r="M321" s="33" t="str">
        <f>"MKDIR "&amp;Table1[[#This Row],[Suggested Folder Naming]]</f>
        <v>MKDIR D:\PAS\CBR\ProcessedFiles\WIL\SIS\LAR_WIL_SIS_HWL_SM_81_IPS_01_BO7</v>
      </c>
    </row>
    <row r="322" spans="1:13" x14ac:dyDescent="0.25">
      <c r="A322" s="21"/>
      <c r="B322" s="7" t="s">
        <v>584</v>
      </c>
      <c r="C322" s="8" t="s">
        <v>475</v>
      </c>
      <c r="D322" s="19" t="s">
        <v>239</v>
      </c>
      <c r="E322" s="30" t="s">
        <v>230</v>
      </c>
      <c r="F322" s="31" t="s">
        <v>231</v>
      </c>
      <c r="G322" s="31" t="str">
        <f>_xlfn.IFNA(VLOOKUP(F322,'[2]Look Table'!B$1:E$64,3,FALSE),"")</f>
        <v>HWL</v>
      </c>
      <c r="H322" s="31" t="str">
        <f>_xlfn.IFNA(VLOOKUP(F322,'[2]Look Table'!B$1:E$64,4,FALSE),"")</f>
        <v>SM</v>
      </c>
      <c r="I322" s="41" t="s">
        <v>463</v>
      </c>
      <c r="J322" s="31" t="str">
        <f t="shared" si="4"/>
        <v>LAR_WIL</v>
      </c>
      <c r="K322" s="3" t="str">
        <f>J322&amp;"_"&amp;E322&amp;IF(ISNUMBER(SEARCH("PAS",G322)),"","_")&amp;(_xlfn.TEXTJOIN("_",TRUE,IF(G322 &lt;&gt; "PAS",G322:H322,""))&amp;(IF(Table1[[#This Row],[Sub-Area]]&lt;&gt;"",_xlfn.CONCAT("_",Table1[[#This Row],[Sub-Area]]),"")))</f>
        <v>LAR_WIL_SIS_HWL_SM_81_IPS_01_BO8</v>
      </c>
      <c r="L322" s="32" t="str">
        <f>IF(I322 &lt;&gt; "",I322&amp;":\PAS\CBR\ProcessedFiles\"&amp;Table1[[#This Row],[Units]]&amp;"\"&amp;Table1[[#This Row],[Asset Type]]&amp;"\"&amp;K322,"")</f>
        <v>D:\PAS\CBR\ProcessedFiles\WIL\SIS\LAR_WIL_SIS_HWL_SM_81_IPS_01_BO8</v>
      </c>
      <c r="M322" s="33" t="str">
        <f>"MKDIR "&amp;Table1[[#This Row],[Suggested Folder Naming]]</f>
        <v>MKDIR D:\PAS\CBR\ProcessedFiles\WIL\SIS\LAR_WIL_SIS_HWL_SM_81_IPS_01_BO8</v>
      </c>
    </row>
    <row r="323" spans="1:13" x14ac:dyDescent="0.25">
      <c r="A323" s="21"/>
      <c r="B323" s="7" t="s">
        <v>584</v>
      </c>
      <c r="C323" s="8" t="s">
        <v>475</v>
      </c>
      <c r="D323" s="19" t="s">
        <v>240</v>
      </c>
      <c r="E323" s="30" t="s">
        <v>230</v>
      </c>
      <c r="F323" s="31" t="s">
        <v>231</v>
      </c>
      <c r="G323" s="31" t="str">
        <f>_xlfn.IFNA(VLOOKUP(F323,'[2]Look Table'!B$1:E$64,3,FALSE),"")</f>
        <v>HWL</v>
      </c>
      <c r="H323" s="31" t="str">
        <f>_xlfn.IFNA(VLOOKUP(F323,'[2]Look Table'!B$1:E$64,4,FALSE),"")</f>
        <v>SM</v>
      </c>
      <c r="I323" s="41" t="s">
        <v>463</v>
      </c>
      <c r="J323" s="31" t="str">
        <f t="shared" ref="J323:J384" si="5">_xlfn.TEXTJOIN("_",TRUE,B323:C323)</f>
        <v>LAR_WIL</v>
      </c>
      <c r="K323" s="3" t="str">
        <f>J323&amp;"_"&amp;E323&amp;IF(ISNUMBER(SEARCH("PAS",G323)),"","_")&amp;(_xlfn.TEXTJOIN("_",TRUE,IF(G323 &lt;&gt; "PAS",G323:H323,""))&amp;(IF(Table1[[#This Row],[Sub-Area]]&lt;&gt;"",_xlfn.CONCAT("_",Table1[[#This Row],[Sub-Area]]),"")))</f>
        <v>LAR_WIL_SIS_HWL_SM_81_IPS_01_BO9</v>
      </c>
      <c r="L323" s="32" t="str">
        <f>IF(I323 &lt;&gt; "",I323&amp;":\PAS\CBR\ProcessedFiles\"&amp;Table1[[#This Row],[Units]]&amp;"\"&amp;Table1[[#This Row],[Asset Type]]&amp;"\"&amp;K323,"")</f>
        <v>D:\PAS\CBR\ProcessedFiles\WIL\SIS\LAR_WIL_SIS_HWL_SM_81_IPS_01_BO9</v>
      </c>
      <c r="M323" s="33" t="str">
        <f>"MKDIR "&amp;Table1[[#This Row],[Suggested Folder Naming]]</f>
        <v>MKDIR D:\PAS\CBR\ProcessedFiles\WIL\SIS\LAR_WIL_SIS_HWL_SM_81_IPS_01_BO9</v>
      </c>
    </row>
    <row r="324" spans="1:13" x14ac:dyDescent="0.25">
      <c r="A324" s="21"/>
      <c r="B324" s="7" t="s">
        <v>584</v>
      </c>
      <c r="C324" s="8" t="s">
        <v>477</v>
      </c>
      <c r="D324" s="19" t="s">
        <v>241</v>
      </c>
      <c r="E324" s="30" t="s">
        <v>213</v>
      </c>
      <c r="F324" s="31" t="s">
        <v>242</v>
      </c>
      <c r="G324" s="31" t="s">
        <v>365</v>
      </c>
      <c r="H324" s="31" t="str">
        <f>_xlfn.IFNA(VLOOKUP(F324,'Look Table'!B$1:E$64,4,FALSE),"")</f>
        <v>TPS</v>
      </c>
      <c r="I324" s="41" t="s">
        <v>463</v>
      </c>
      <c r="J324" s="31" t="str">
        <f t="shared" si="5"/>
        <v>LAR_CAR</v>
      </c>
      <c r="K324" s="3" t="str">
        <f>J324&amp;"_"&amp;E324&amp;IF(ISNUMBER(SEARCH("PAS",G324)),"","_")&amp;(_xlfn.TEXTJOIN("_",TRUE,IF(G324 &lt;&gt; "PAS",G324:H324,""))&amp;(IF(Table1[[#This Row],[Sub-Area]]&lt;&gt;"",_xlfn.CONCAT("_",Table1[[#This Row],[Sub-Area]]),"")))</f>
        <v>LAR_CAR_DCS_HWL_TPS_LCN1</v>
      </c>
      <c r="L324" s="32" t="str">
        <f>IF(I324 &lt;&gt; "",I324&amp;":\PAS\CBR\ProcessedFiles\"&amp;Table1[[#This Row],[Units]]&amp;"\"&amp;Table1[[#This Row],[Asset Type]]&amp;"\"&amp;K324,"")</f>
        <v>D:\PAS\CBR\ProcessedFiles\CAR\DCS\LAR_CAR_DCS_HWL_TPS_LCN1</v>
      </c>
      <c r="M324" s="33" t="str">
        <f>"MKDIR "&amp;Table1[[#This Row],[Suggested Folder Naming]]</f>
        <v>MKDIR D:\PAS\CBR\ProcessedFiles\CAR\DCS\LAR_CAR_DCS_HWL_TPS_LCN1</v>
      </c>
    </row>
    <row r="325" spans="1:13" x14ac:dyDescent="0.25">
      <c r="A325" s="21"/>
      <c r="B325" s="7" t="s">
        <v>584</v>
      </c>
      <c r="C325" s="8" t="s">
        <v>477</v>
      </c>
      <c r="D325" s="19" t="s">
        <v>243</v>
      </c>
      <c r="E325" s="30" t="s">
        <v>213</v>
      </c>
      <c r="F325" s="31" t="s">
        <v>242</v>
      </c>
      <c r="G325" s="31" t="s">
        <v>365</v>
      </c>
      <c r="H325" s="31" t="str">
        <f>_xlfn.IFNA(VLOOKUP(F325,'Look Table'!B$1:E$64,4,FALSE),"")</f>
        <v>TPS</v>
      </c>
      <c r="I325" s="41" t="s">
        <v>463</v>
      </c>
      <c r="J325" s="31" t="str">
        <f t="shared" si="5"/>
        <v>LAR_CAR</v>
      </c>
      <c r="K325" s="3" t="str">
        <f>J325&amp;"_"&amp;E325&amp;IF(ISNUMBER(SEARCH("PAS",G325)),"","_")&amp;(_xlfn.TEXTJOIN("_",TRUE,IF(G325 &lt;&gt; "PAS",G325:H325,""))&amp;(IF(Table1[[#This Row],[Sub-Area]]&lt;&gt;"",_xlfn.CONCAT("_",Table1[[#This Row],[Sub-Area]]),"")))</f>
        <v>LAR_CAR_DCS_HWL_TPS_LCN3</v>
      </c>
      <c r="L325" s="32" t="str">
        <f>IF(I325 &lt;&gt; "",I325&amp;":\PAS\CBR\ProcessedFiles\"&amp;Table1[[#This Row],[Units]]&amp;"\"&amp;Table1[[#This Row],[Asset Type]]&amp;"\"&amp;K325,"")</f>
        <v>D:\PAS\CBR\ProcessedFiles\CAR\DCS\LAR_CAR_DCS_HWL_TPS_LCN3</v>
      </c>
      <c r="M325" s="33" t="str">
        <f>"MKDIR "&amp;Table1[[#This Row],[Suggested Folder Naming]]</f>
        <v>MKDIR D:\PAS\CBR\ProcessedFiles\CAR\DCS\LAR_CAR_DCS_HWL_TPS_LCN3</v>
      </c>
    </row>
    <row r="326" spans="1:13" x14ac:dyDescent="0.25">
      <c r="A326" s="21"/>
      <c r="B326" s="7" t="s">
        <v>584</v>
      </c>
      <c r="C326" s="8" t="s">
        <v>477</v>
      </c>
      <c r="D326" s="19" t="s">
        <v>244</v>
      </c>
      <c r="E326" s="30" t="s">
        <v>213</v>
      </c>
      <c r="F326" s="31" t="s">
        <v>242</v>
      </c>
      <c r="G326" s="31" t="s">
        <v>365</v>
      </c>
      <c r="H326" s="31" t="str">
        <f>_xlfn.IFNA(VLOOKUP(F326,'Look Table'!B$1:E$64,4,FALSE),"")</f>
        <v>TPS</v>
      </c>
      <c r="I326" s="41" t="s">
        <v>463</v>
      </c>
      <c r="J326" s="31" t="str">
        <f t="shared" si="5"/>
        <v>LAR_CAR</v>
      </c>
      <c r="K326" s="3" t="str">
        <f>J326&amp;"_"&amp;E326&amp;IF(ISNUMBER(SEARCH("PAS",G326)),"","_")&amp;(_xlfn.TEXTJOIN("_",TRUE,IF(G326 &lt;&gt; "PAS",G326:H326,""))&amp;(IF(Table1[[#This Row],[Sub-Area]]&lt;&gt;"",_xlfn.CONCAT("_",Table1[[#This Row],[Sub-Area]]),"")))</f>
        <v>LAR_CAR_DCS_HWL_TPS_LCN4</v>
      </c>
      <c r="L326" s="32" t="str">
        <f>IF(I326 &lt;&gt; "",I326&amp;":\PAS\CBR\ProcessedFiles\"&amp;Table1[[#This Row],[Units]]&amp;"\"&amp;Table1[[#This Row],[Asset Type]]&amp;"\"&amp;K326,"")</f>
        <v>D:\PAS\CBR\ProcessedFiles\CAR\DCS\LAR_CAR_DCS_HWL_TPS_LCN4</v>
      </c>
      <c r="M326" s="33" t="str">
        <f>"MKDIR "&amp;Table1[[#This Row],[Suggested Folder Naming]]</f>
        <v>MKDIR D:\PAS\CBR\ProcessedFiles\CAR\DCS\LAR_CAR_DCS_HWL_TPS_LCN4</v>
      </c>
    </row>
    <row r="327" spans="1:13" x14ac:dyDescent="0.25">
      <c r="A327" s="21"/>
      <c r="B327" s="7" t="s">
        <v>584</v>
      </c>
      <c r="C327" s="8" t="s">
        <v>477</v>
      </c>
      <c r="D327" s="19" t="s">
        <v>245</v>
      </c>
      <c r="E327" s="30" t="s">
        <v>213</v>
      </c>
      <c r="F327" s="31" t="s">
        <v>242</v>
      </c>
      <c r="G327" s="31" t="s">
        <v>365</v>
      </c>
      <c r="H327" s="31" t="str">
        <f>_xlfn.IFNA(VLOOKUP(F327,'Look Table'!B$1:E$64,4,FALSE),"")</f>
        <v>TPS</v>
      </c>
      <c r="I327" s="41" t="s">
        <v>463</v>
      </c>
      <c r="J327" s="31" t="str">
        <f t="shared" si="5"/>
        <v>LAR_CAR</v>
      </c>
      <c r="K327" s="3" t="str">
        <f>J327&amp;"_"&amp;E327&amp;IF(ISNUMBER(SEARCH("PAS",G327)),"","_")&amp;(_xlfn.TEXTJOIN("_",TRUE,IF(G327 &lt;&gt; "PAS",G327:H327,""))&amp;(IF(Table1[[#This Row],[Sub-Area]]&lt;&gt;"",_xlfn.CONCAT("_",Table1[[#This Row],[Sub-Area]]),"")))</f>
        <v>LAR_CAR_DCS_HWL_TPS_LCN5</v>
      </c>
      <c r="L327" s="32" t="str">
        <f>IF(I327 &lt;&gt; "",I327&amp;":\PAS\CBR\ProcessedFiles\"&amp;Table1[[#This Row],[Units]]&amp;"\"&amp;Table1[[#This Row],[Asset Type]]&amp;"\"&amp;K327,"")</f>
        <v>D:\PAS\CBR\ProcessedFiles\CAR\DCS\LAR_CAR_DCS_HWL_TPS_LCN5</v>
      </c>
      <c r="M327" s="33" t="str">
        <f>"MKDIR "&amp;Table1[[#This Row],[Suggested Folder Naming]]</f>
        <v>MKDIR D:\PAS\CBR\ProcessedFiles\CAR\DCS\LAR_CAR_DCS_HWL_TPS_LCN5</v>
      </c>
    </row>
    <row r="328" spans="1:13" x14ac:dyDescent="0.25">
      <c r="A328" s="21"/>
      <c r="B328" s="7" t="s">
        <v>584</v>
      </c>
      <c r="C328" s="8" t="s">
        <v>477</v>
      </c>
      <c r="D328" s="19" t="s">
        <v>246</v>
      </c>
      <c r="E328" s="30" t="s">
        <v>213</v>
      </c>
      <c r="F328" s="31" t="s">
        <v>242</v>
      </c>
      <c r="G328" s="31" t="s">
        <v>365</v>
      </c>
      <c r="H328" s="31" t="str">
        <f>_xlfn.IFNA(VLOOKUP(F328,'Look Table'!B$1:E$64,4,FALSE),"")</f>
        <v>TPS</v>
      </c>
      <c r="I328" s="41" t="s">
        <v>463</v>
      </c>
      <c r="J328" s="31" t="str">
        <f t="shared" si="5"/>
        <v>LAR_CAR</v>
      </c>
      <c r="K328" s="3" t="str">
        <f>J328&amp;"_"&amp;E328&amp;IF(ISNUMBER(SEARCH("PAS",G328)),"","_")&amp;(_xlfn.TEXTJOIN("_",TRUE,IF(G328 &lt;&gt; "PAS",G328:H328,""))&amp;(IF(Table1[[#This Row],[Sub-Area]]&lt;&gt;"",_xlfn.CONCAT("_",Table1[[#This Row],[Sub-Area]]),"")))</f>
        <v>LAR_CAR_DCS_HWL_TPS_LCN6</v>
      </c>
      <c r="L328" s="32" t="str">
        <f>IF(I328 &lt;&gt; "",I328&amp;":\PAS\CBR\ProcessedFiles\"&amp;Table1[[#This Row],[Units]]&amp;"\"&amp;Table1[[#This Row],[Asset Type]]&amp;"\"&amp;K328,"")</f>
        <v>D:\PAS\CBR\ProcessedFiles\CAR\DCS\LAR_CAR_DCS_HWL_TPS_LCN6</v>
      </c>
      <c r="M328" s="33" t="str">
        <f>"MKDIR "&amp;Table1[[#This Row],[Suggested Folder Naming]]</f>
        <v>MKDIR D:\PAS\CBR\ProcessedFiles\CAR\DCS\LAR_CAR_DCS_HWL_TPS_LCN6</v>
      </c>
    </row>
    <row r="329" spans="1:13" x14ac:dyDescent="0.25">
      <c r="A329" s="21"/>
      <c r="B329" s="7" t="s">
        <v>584</v>
      </c>
      <c r="C329" s="8" t="s">
        <v>475</v>
      </c>
      <c r="D329" s="19" t="s">
        <v>247</v>
      </c>
      <c r="E329" s="30" t="s">
        <v>213</v>
      </c>
      <c r="F329" s="31" t="s">
        <v>242</v>
      </c>
      <c r="G329" s="31" t="s">
        <v>365</v>
      </c>
      <c r="H329" s="31" t="str">
        <f>_xlfn.IFNA(VLOOKUP(F329,'Look Table'!B$1:E$64,4,FALSE),"")</f>
        <v>TPS</v>
      </c>
      <c r="I329" s="41" t="s">
        <v>463</v>
      </c>
      <c r="J329" s="31" t="str">
        <f t="shared" si="5"/>
        <v>LAR_WIL</v>
      </c>
      <c r="K329" s="3" t="str">
        <f>J329&amp;"_"&amp;E329&amp;IF(ISNUMBER(SEARCH("PAS",G329)),"","_")&amp;(_xlfn.TEXTJOIN("_",TRUE,IF(G329 &lt;&gt; "PAS",G329:H329,""))&amp;(IF(Table1[[#This Row],[Sub-Area]]&lt;&gt;"",_xlfn.CONCAT("_",Table1[[#This Row],[Sub-Area]]),"")))</f>
        <v>LAR_WIL_DCS_HWL_TPS_North</v>
      </c>
      <c r="L329" s="32" t="str">
        <f>IF(I329 &lt;&gt; "",I329&amp;":\PAS\CBR\ProcessedFiles\"&amp;Table1[[#This Row],[Units]]&amp;"\"&amp;Table1[[#This Row],[Asset Type]]&amp;"\"&amp;K329,"")</f>
        <v>D:\PAS\CBR\ProcessedFiles\WIL\DCS\LAR_WIL_DCS_HWL_TPS_North</v>
      </c>
      <c r="M329" s="33" t="str">
        <f>"MKDIR "&amp;Table1[[#This Row],[Suggested Folder Naming]]</f>
        <v>MKDIR D:\PAS\CBR\ProcessedFiles\WIL\DCS\LAR_WIL_DCS_HWL_TPS_North</v>
      </c>
    </row>
    <row r="330" spans="1:13" x14ac:dyDescent="0.25">
      <c r="A330" s="21"/>
      <c r="B330" s="7" t="s">
        <v>584</v>
      </c>
      <c r="C330" s="8" t="s">
        <v>475</v>
      </c>
      <c r="D330" s="19" t="s">
        <v>248</v>
      </c>
      <c r="E330" s="30" t="s">
        <v>213</v>
      </c>
      <c r="F330" s="31" t="s">
        <v>242</v>
      </c>
      <c r="G330" s="31" t="s">
        <v>365</v>
      </c>
      <c r="H330" s="31" t="str">
        <f>_xlfn.IFNA(VLOOKUP(F330,'Look Table'!B$1:E$64,4,FALSE),"")</f>
        <v>TPS</v>
      </c>
      <c r="I330" s="41" t="s">
        <v>463</v>
      </c>
      <c r="J330" s="31" t="str">
        <f t="shared" si="5"/>
        <v>LAR_WIL</v>
      </c>
      <c r="K330" s="3" t="str">
        <f>J330&amp;"_"&amp;E330&amp;IF(ISNUMBER(SEARCH("PAS",G330)),"","_")&amp;(_xlfn.TEXTJOIN("_",TRUE,IF(G330 &lt;&gt; "PAS",G330:H330,""))&amp;(IF(Table1[[#This Row],[Sub-Area]]&lt;&gt;"",_xlfn.CONCAT("_",Table1[[#This Row],[Sub-Area]]),"")))</f>
        <v>LAR_WIL_DCS_HWL_TPS_South</v>
      </c>
      <c r="L330" s="32" t="str">
        <f>IF(I330 &lt;&gt; "",I330&amp;":\PAS\CBR\ProcessedFiles\"&amp;Table1[[#This Row],[Units]]&amp;"\"&amp;Table1[[#This Row],[Asset Type]]&amp;"\"&amp;K330,"")</f>
        <v>D:\PAS\CBR\ProcessedFiles\WIL\DCS\LAR_WIL_DCS_HWL_TPS_South</v>
      </c>
      <c r="M330" s="33" t="str">
        <f>"MKDIR "&amp;Table1[[#This Row],[Suggested Folder Naming]]</f>
        <v>MKDIR D:\PAS\CBR\ProcessedFiles\WIL\DCS\LAR_WIL_DCS_HWL_TPS_South</v>
      </c>
    </row>
    <row r="331" spans="1:13" x14ac:dyDescent="0.25">
      <c r="A331" s="21"/>
      <c r="B331" s="7" t="s">
        <v>584</v>
      </c>
      <c r="C331" s="8" t="s">
        <v>475</v>
      </c>
      <c r="D331" s="19" t="s">
        <v>228</v>
      </c>
      <c r="E331" s="30" t="s">
        <v>213</v>
      </c>
      <c r="F331" s="31" t="s">
        <v>242</v>
      </c>
      <c r="G331" s="31" t="s">
        <v>365</v>
      </c>
      <c r="H331" s="31" t="str">
        <f>_xlfn.IFNA(VLOOKUP(F331,'Look Table'!B$1:E$64,4,FALSE),"")</f>
        <v>TPS</v>
      </c>
      <c r="I331" s="41" t="s">
        <v>463</v>
      </c>
      <c r="J331" s="31" t="str">
        <f t="shared" si="5"/>
        <v>LAR_WIL</v>
      </c>
      <c r="K331" s="3" t="str">
        <f>J331&amp;"_"&amp;E331&amp;IF(ISNUMBER(SEARCH("PAS",G331)),"","_")&amp;(_xlfn.TEXTJOIN("_",TRUE,IF(G331 &lt;&gt; "PAS",G331:H331,""))&amp;(IF(Table1[[#This Row],[Sub-Area]]&lt;&gt;"",_xlfn.CONCAT("_",Table1[[#This Row],[Sub-Area]]),"")))</f>
        <v>LAR_WIL_DCS_HWL_TPS_SRP</v>
      </c>
      <c r="L331" s="32" t="str">
        <f>IF(I331 &lt;&gt; "",I331&amp;":\PAS\CBR\ProcessedFiles\"&amp;Table1[[#This Row],[Units]]&amp;"\"&amp;Table1[[#This Row],[Asset Type]]&amp;"\"&amp;K331,"")</f>
        <v>D:\PAS\CBR\ProcessedFiles\WIL\DCS\LAR_WIL_DCS_HWL_TPS_SRP</v>
      </c>
      <c r="M331" s="33" t="str">
        <f>"MKDIR "&amp;Table1[[#This Row],[Suggested Folder Naming]]</f>
        <v>MKDIR D:\PAS\CBR\ProcessedFiles\WIL\DCS\LAR_WIL_DCS_HWL_TPS_SRP</v>
      </c>
    </row>
    <row r="332" spans="1:13" x14ac:dyDescent="0.25">
      <c r="A332" s="21"/>
      <c r="B332" s="7" t="s">
        <v>584</v>
      </c>
      <c r="C332" s="8" t="s">
        <v>477</v>
      </c>
      <c r="D332" s="19" t="s">
        <v>249</v>
      </c>
      <c r="E332" s="30" t="s">
        <v>31</v>
      </c>
      <c r="F332" s="31" t="s">
        <v>250</v>
      </c>
      <c r="G332" s="31" t="s">
        <v>338</v>
      </c>
      <c r="H332" s="31" t="s">
        <v>410</v>
      </c>
      <c r="I332" s="41" t="s">
        <v>463</v>
      </c>
      <c r="J332" s="31" t="str">
        <f t="shared" si="5"/>
        <v>LAR_CAR</v>
      </c>
      <c r="K332" s="3" t="str">
        <f>J332&amp;"_"&amp;E332&amp;IF(ISNUMBER(SEARCH("PAS",G332)),"","_")&amp;(_xlfn.TEXTJOIN("_",TRUE,IF(G332 &lt;&gt; "PAS",G332:H332,""))&amp;(IF(Table1[[#This Row],[Sub-Area]]&lt;&gt;"",_xlfn.CONCAT("_",Table1[[#This Row],[Sub-Area]]),"")))</f>
        <v>LAR_CAR_PLC_SE_ProWorx32_ISOM_DRYER</v>
      </c>
      <c r="L332" s="32" t="str">
        <f>IF(I332 &lt;&gt; "",I332&amp;":\PAS\CBR\ProcessedFiles\"&amp;Table1[[#This Row],[Units]]&amp;"\"&amp;Table1[[#This Row],[Asset Type]]&amp;"\"&amp;K332,"")</f>
        <v>D:\PAS\CBR\ProcessedFiles\CAR\PLC\LAR_CAR_PLC_SE_ProWorx32_ISOM_DRYER</v>
      </c>
      <c r="M332" s="33" t="str">
        <f>"MKDIR "&amp;Table1[[#This Row],[Suggested Folder Naming]]</f>
        <v>MKDIR D:\PAS\CBR\ProcessedFiles\CAR\PLC\LAR_CAR_PLC_SE_ProWorx32_ISOM_DRYER</v>
      </c>
    </row>
    <row r="333" spans="1:13" x14ac:dyDescent="0.25">
      <c r="A333" s="21"/>
      <c r="B333" s="7" t="s">
        <v>584</v>
      </c>
      <c r="C333" s="8" t="s">
        <v>477</v>
      </c>
      <c r="D333" s="19"/>
      <c r="E333" s="30" t="s">
        <v>251</v>
      </c>
      <c r="F333" s="31" t="s">
        <v>252</v>
      </c>
      <c r="G333" s="31" t="str">
        <f>_xlfn.IFNA(VLOOKUP(F333,'Look Table'!B$1:E$64,3,FALSE),"")</f>
        <v>OSI</v>
      </c>
      <c r="H333" s="31" t="str">
        <f>_xlfn.IFNA(VLOOKUP(F333,'Look Table'!B$1:E$64,4,FALSE),"")</f>
        <v>PI</v>
      </c>
      <c r="I333" s="41" t="s">
        <v>463</v>
      </c>
      <c r="J333" s="31" t="str">
        <f t="shared" si="5"/>
        <v>LAR_CAR</v>
      </c>
      <c r="K333" s="3" t="str">
        <f>J333&amp;"_"&amp;E333&amp;IF(ISNUMBER(SEARCH("PAS",G333)),"","_")&amp;(_xlfn.TEXTJOIN("_",TRUE,IF(G333 &lt;&gt; "PAS",G333:H333,""))&amp;(IF(Table1[[#This Row],[Sub-Area]]&lt;&gt;"",_xlfn.CONCAT("_",Table1[[#This Row],[Sub-Area]]),"")))</f>
        <v>LAR_CAR_Historian_OSI_PI</v>
      </c>
      <c r="L333" s="32" t="str">
        <f>IF(I333 &lt;&gt; "",I333&amp;":\PAS\CBR\ProcessedFiles\"&amp;Table1[[#This Row],[Units]]&amp;"\"&amp;Table1[[#This Row],[Asset Type]]&amp;"\"&amp;K333,"")</f>
        <v>D:\PAS\CBR\ProcessedFiles\CAR\Historian\LAR_CAR_Historian_OSI_PI</v>
      </c>
      <c r="M333" s="33" t="str">
        <f>"MKDIR "&amp;Table1[[#This Row],[Suggested Folder Naming]]</f>
        <v>MKDIR D:\PAS\CBR\ProcessedFiles\CAR\Historian\LAR_CAR_Historian_OSI_PI</v>
      </c>
    </row>
    <row r="334" spans="1:13" x14ac:dyDescent="0.25">
      <c r="A334" s="21"/>
      <c r="B334" s="7" t="s">
        <v>584</v>
      </c>
      <c r="C334" s="8" t="s">
        <v>477</v>
      </c>
      <c r="D334" s="19" t="s">
        <v>581</v>
      </c>
      <c r="E334" s="30" t="s">
        <v>370</v>
      </c>
      <c r="F334" s="31" t="s">
        <v>263</v>
      </c>
      <c r="G334" s="31" t="str">
        <f>_xlfn.IFNA(VLOOKUP(F334,'[1]Look Table'!B$1:E$75,3,FALSE),"")</f>
        <v>SEL</v>
      </c>
      <c r="H334" s="31" t="str">
        <f>_xlfn.IFNA(VLOOKUP(F334,'[1]Look Table'!B$1:E$75,4,FALSE),"")</f>
        <v>Relays</v>
      </c>
      <c r="I334" s="41" t="s">
        <v>463</v>
      </c>
      <c r="J334" s="31" t="str">
        <f t="shared" si="5"/>
        <v>LAR_CAR</v>
      </c>
      <c r="K334" s="3" t="str">
        <f>J334&amp;"_"&amp;E334&amp;IF(ISNUMBER(SEARCH("PAS",G334)),"","_")&amp;(_xlfn.TEXTJOIN("_",TRUE,IF(G334 &lt;&gt; "PAS",G334:H334,""))&amp;(IF(Table1[[#This Row],[Sub-Area]]&lt;&gt;"",_xlfn.CONCAT("_",Table1[[#This Row],[Sub-Area]]),"")))</f>
        <v>LAR_CAR_MISC_SEL_Relays_MainStationBusA</v>
      </c>
      <c r="L334" s="32" t="str">
        <f>IF(I334 &lt;&gt; "",I334&amp;":\PAS\CBR\ProcessedFiles\"&amp;Table1[[#This Row],[Units]]&amp;"\"&amp;Table1[[#This Row],[Asset Type]]&amp;"\"&amp;K334,"")</f>
        <v>D:\PAS\CBR\ProcessedFiles\CAR\MISC\LAR_CAR_MISC_SEL_Relays_MainStationBusA</v>
      </c>
      <c r="M334" s="1" t="str">
        <f>"MKDIR "&amp;Table1[[#This Row],[Suggested Folder Naming]]</f>
        <v>MKDIR D:\PAS\CBR\ProcessedFiles\CAR\MISC\LAR_CAR_MISC_SEL_Relays_MainStationBusA</v>
      </c>
    </row>
    <row r="335" spans="1:13" x14ac:dyDescent="0.25">
      <c r="A335" s="21"/>
      <c r="B335" s="7" t="s">
        <v>584</v>
      </c>
      <c r="C335" s="8" t="s">
        <v>477</v>
      </c>
      <c r="D335" s="19"/>
      <c r="E335" s="30" t="s">
        <v>370</v>
      </c>
      <c r="F335" s="31" t="s">
        <v>263</v>
      </c>
      <c r="G335" s="31" t="str">
        <f>_xlfn.IFNA(VLOOKUP(F335,'[1]Look Table'!B$1:E$75,3,FALSE),"")</f>
        <v>SEL</v>
      </c>
      <c r="H335" s="31" t="str">
        <f>_xlfn.IFNA(VLOOKUP(F335,'[1]Look Table'!B$1:E$75,4,FALSE),"")</f>
        <v>Relays</v>
      </c>
      <c r="I335" s="41" t="s">
        <v>463</v>
      </c>
      <c r="J335" s="31" t="str">
        <f t="shared" si="5"/>
        <v>LAR_CAR</v>
      </c>
      <c r="K335" s="3" t="str">
        <f>J335&amp;"_"&amp;E335&amp;IF(ISNUMBER(SEARCH("PAS",G335)),"","_")&amp;(_xlfn.TEXTJOIN("_",TRUE,IF(G335 &lt;&gt; "PAS",G335:H335,""))&amp;(IF(Table1[[#This Row],[Sub-Area]]&lt;&gt;"",_xlfn.CONCAT("_",Table1[[#This Row],[Sub-Area]]),"")))</f>
        <v>LAR_CAR_MISC_SEL_Relays</v>
      </c>
      <c r="L335" s="32" t="str">
        <f>IF(I335 &lt;&gt; "",I335&amp;":\PAS\CBR\ProcessedFiles\"&amp;Table1[[#This Row],[Units]]&amp;"\"&amp;Table1[[#This Row],[Asset Type]]&amp;"\"&amp;K335,"")</f>
        <v>D:\PAS\CBR\ProcessedFiles\CAR\MISC\LAR_CAR_MISC_SEL_Relays</v>
      </c>
      <c r="M335" s="33" t="str">
        <f>"MKDIR "&amp;Table1[[#This Row],[Suggested Folder Naming]]</f>
        <v>MKDIR D:\PAS\CBR\ProcessedFiles\CAR\MISC\LAR_CAR_MISC_SEL_Relays</v>
      </c>
    </row>
    <row r="336" spans="1:13" x14ac:dyDescent="0.25">
      <c r="A336" s="21"/>
      <c r="B336" s="7" t="s">
        <v>584</v>
      </c>
      <c r="C336" s="8" t="s">
        <v>477</v>
      </c>
      <c r="D336" s="19"/>
      <c r="E336" s="30" t="s">
        <v>370</v>
      </c>
      <c r="F336" s="31" t="s">
        <v>263</v>
      </c>
      <c r="G336" s="31" t="str">
        <f>_xlfn.IFNA(VLOOKUP(F336,'[1]Look Table'!B$1:E$75,3,FALSE),"")</f>
        <v>SEL</v>
      </c>
      <c r="H336" s="31" t="str">
        <f>_xlfn.IFNA(VLOOKUP(F336,'[1]Look Table'!B$1:E$75,4,FALSE),"")</f>
        <v>Relays</v>
      </c>
      <c r="I336" s="41" t="s">
        <v>463</v>
      </c>
      <c r="J336" s="31" t="str">
        <f t="shared" si="5"/>
        <v>LAR_CAR</v>
      </c>
      <c r="K336" s="3" t="str">
        <f>J336&amp;"_"&amp;E336&amp;IF(ISNUMBER(SEARCH("PAS",G336)),"","_")&amp;(_xlfn.TEXTJOIN("_",TRUE,IF(G336 &lt;&gt; "PAS",G336:H336,""))&amp;(IF(Table1[[#This Row],[Sub-Area]]&lt;&gt;"",_xlfn.CONCAT("_",Table1[[#This Row],[Sub-Area]]),"")))</f>
        <v>LAR_CAR_MISC_SEL_Relays</v>
      </c>
      <c r="L336" s="32" t="str">
        <f>IF(I336 &lt;&gt; "",I336&amp;":\PAS\CBR\ProcessedFiles\"&amp;Table1[[#This Row],[Units]]&amp;"\"&amp;Table1[[#This Row],[Asset Type]]&amp;"\"&amp;K336,"")</f>
        <v>D:\PAS\CBR\ProcessedFiles\CAR\MISC\LAR_CAR_MISC_SEL_Relays</v>
      </c>
      <c r="M336" s="1" t="str">
        <f>"MKDIR "&amp;Table1[[#This Row],[Suggested Folder Naming]]</f>
        <v>MKDIR D:\PAS\CBR\ProcessedFiles\CAR\MISC\LAR_CAR_MISC_SEL_Relays</v>
      </c>
    </row>
    <row r="337" spans="1:13" x14ac:dyDescent="0.25">
      <c r="A337" s="21"/>
      <c r="B337" s="7" t="s">
        <v>584</v>
      </c>
      <c r="C337" s="8" t="s">
        <v>477</v>
      </c>
      <c r="D337" s="19" t="s">
        <v>264</v>
      </c>
      <c r="E337" s="30" t="s">
        <v>230</v>
      </c>
      <c r="F337" s="31" t="s">
        <v>265</v>
      </c>
      <c r="G337" s="31" t="str">
        <f>_xlfn.IFNA(VLOOKUP(F337,'[2]Look Table'!B$1:E$64,3,FALSE),"")</f>
        <v>SE</v>
      </c>
      <c r="H337" s="31" t="str">
        <f>_xlfn.IFNA(VLOOKUP(F337,'[2]Look Table'!B$1:E$64,4,FALSE),"")</f>
        <v>TRX</v>
      </c>
      <c r="I337" s="41" t="s">
        <v>463</v>
      </c>
      <c r="J337" s="31" t="str">
        <f t="shared" si="5"/>
        <v>LAR_CAR</v>
      </c>
      <c r="K337" s="3" t="str">
        <f>J337&amp;"_"&amp;E337&amp;IF(ISNUMBER(SEARCH("PAS",G337)),"","_")&amp;(_xlfn.TEXTJOIN("_",TRUE,IF(G337 &lt;&gt; "PAS",G337:H337,""))&amp;(IF(Table1[[#This Row],[Sub-Area]]&lt;&gt;"",_xlfn.CONCAT("_",Table1[[#This Row],[Sub-Area]]),"")))</f>
        <v>LAR_CAR_SIS_SE_TRX_03SPLC0001</v>
      </c>
      <c r="L337" s="32" t="str">
        <f>IF(I337 &lt;&gt; "",I337&amp;":\PAS\CBR\ProcessedFiles\"&amp;Table1[[#This Row],[Units]]&amp;"\"&amp;Table1[[#This Row],[Asset Type]]&amp;"\"&amp;K337,"")</f>
        <v>D:\PAS\CBR\ProcessedFiles\CAR\SIS\LAR_CAR_SIS_SE_TRX_03SPLC0001</v>
      </c>
      <c r="M337" s="33" t="str">
        <f>"MKDIR "&amp;Table1[[#This Row],[Suggested Folder Naming]]</f>
        <v>MKDIR D:\PAS\CBR\ProcessedFiles\CAR\SIS\LAR_CAR_SIS_SE_TRX_03SPLC0001</v>
      </c>
    </row>
    <row r="338" spans="1:13" x14ac:dyDescent="0.25">
      <c r="A338" s="21"/>
      <c r="B338" s="7" t="s">
        <v>584</v>
      </c>
      <c r="C338" s="8" t="s">
        <v>477</v>
      </c>
      <c r="D338" s="19" t="s">
        <v>266</v>
      </c>
      <c r="E338" s="30" t="s">
        <v>230</v>
      </c>
      <c r="F338" s="31" t="s">
        <v>265</v>
      </c>
      <c r="G338" s="31" t="str">
        <f>_xlfn.IFNA(VLOOKUP(F338,'[2]Look Table'!B$1:E$64,3,FALSE),"")</f>
        <v>SE</v>
      </c>
      <c r="H338" s="31" t="str">
        <f>_xlfn.IFNA(VLOOKUP(F338,'[2]Look Table'!B$1:E$64,4,FALSE),"")</f>
        <v>TRX</v>
      </c>
      <c r="I338" s="41" t="s">
        <v>463</v>
      </c>
      <c r="J338" s="31" t="str">
        <f t="shared" si="5"/>
        <v>LAR_CAR</v>
      </c>
      <c r="K338" s="3" t="str">
        <f>J338&amp;"_"&amp;E338&amp;IF(ISNUMBER(SEARCH("PAS",G338)),"","_")&amp;(_xlfn.TEXTJOIN("_",TRUE,IF(G338 &lt;&gt; "PAS",G338:H338,""))&amp;(IF(Table1[[#This Row],[Sub-Area]]&lt;&gt;"",_xlfn.CONCAT("_",Table1[[#This Row],[Sub-Area]]),"")))</f>
        <v>LAR_CAR_SIS_SE_TRX_05SPLC0002</v>
      </c>
      <c r="L338" s="32" t="str">
        <f>IF(I338 &lt;&gt; "",I338&amp;":\PAS\CBR\ProcessedFiles\"&amp;Table1[[#This Row],[Units]]&amp;"\"&amp;Table1[[#This Row],[Asset Type]]&amp;"\"&amp;K338,"")</f>
        <v>D:\PAS\CBR\ProcessedFiles\CAR\SIS\LAR_CAR_SIS_SE_TRX_05SPLC0002</v>
      </c>
      <c r="M338" s="33" t="str">
        <f>"MKDIR "&amp;Table1[[#This Row],[Suggested Folder Naming]]</f>
        <v>MKDIR D:\PAS\CBR\ProcessedFiles\CAR\SIS\LAR_CAR_SIS_SE_TRX_05SPLC0002</v>
      </c>
    </row>
    <row r="339" spans="1:13" x14ac:dyDescent="0.25">
      <c r="A339" s="21"/>
      <c r="B339" s="7" t="s">
        <v>584</v>
      </c>
      <c r="C339" s="8" t="s">
        <v>477</v>
      </c>
      <c r="D339" s="19" t="s">
        <v>267</v>
      </c>
      <c r="E339" s="30" t="s">
        <v>230</v>
      </c>
      <c r="F339" s="31" t="s">
        <v>265</v>
      </c>
      <c r="G339" s="31" t="str">
        <f>_xlfn.IFNA(VLOOKUP(F339,'[2]Look Table'!B$1:E$64,3,FALSE),"")</f>
        <v>SE</v>
      </c>
      <c r="H339" s="31" t="str">
        <f>_xlfn.IFNA(VLOOKUP(F339,'[2]Look Table'!B$1:E$64,4,FALSE),"")</f>
        <v>TRX</v>
      </c>
      <c r="I339" s="41" t="s">
        <v>463</v>
      </c>
      <c r="J339" s="31" t="str">
        <f t="shared" si="5"/>
        <v>LAR_CAR</v>
      </c>
      <c r="K339" s="3" t="str">
        <f>J339&amp;"_"&amp;E339&amp;IF(ISNUMBER(SEARCH("PAS",G339)),"","_")&amp;(_xlfn.TEXTJOIN("_",TRUE,IF(G339 &lt;&gt; "PAS",G339:H339,""))&amp;(IF(Table1[[#This Row],[Sub-Area]]&lt;&gt;"",_xlfn.CONCAT("_",Table1[[#This Row],[Sub-Area]]),"")))</f>
        <v>LAR_CAR_SIS_SE_TRX_06SPLC0003</v>
      </c>
      <c r="L339" s="32" t="str">
        <f>IF(I339 &lt;&gt; "",I339&amp;":\PAS\CBR\ProcessedFiles\"&amp;Table1[[#This Row],[Units]]&amp;"\"&amp;Table1[[#This Row],[Asset Type]]&amp;"\"&amp;K339,"")</f>
        <v>D:\PAS\CBR\ProcessedFiles\CAR\SIS\LAR_CAR_SIS_SE_TRX_06SPLC0003</v>
      </c>
      <c r="M339" s="33" t="str">
        <f>"MKDIR "&amp;Table1[[#This Row],[Suggested Folder Naming]]</f>
        <v>MKDIR D:\PAS\CBR\ProcessedFiles\CAR\SIS\LAR_CAR_SIS_SE_TRX_06SPLC0003</v>
      </c>
    </row>
    <row r="340" spans="1:13" x14ac:dyDescent="0.25">
      <c r="A340" s="21"/>
      <c r="B340" s="7" t="s">
        <v>584</v>
      </c>
      <c r="C340" s="8" t="s">
        <v>477</v>
      </c>
      <c r="D340" s="19" t="s">
        <v>268</v>
      </c>
      <c r="E340" s="30" t="s">
        <v>230</v>
      </c>
      <c r="F340" s="31" t="s">
        <v>265</v>
      </c>
      <c r="G340" s="31" t="str">
        <f>_xlfn.IFNA(VLOOKUP(F340,'[2]Look Table'!B$1:E$64,3,FALSE),"")</f>
        <v>SE</v>
      </c>
      <c r="H340" s="31" t="str">
        <f>_xlfn.IFNA(VLOOKUP(F340,'[2]Look Table'!B$1:E$64,4,FALSE),"")</f>
        <v>TRX</v>
      </c>
      <c r="I340" s="41" t="s">
        <v>463</v>
      </c>
      <c r="J340" s="31" t="str">
        <f t="shared" si="5"/>
        <v>LAR_CAR</v>
      </c>
      <c r="K340" s="3" t="str">
        <f>J340&amp;"_"&amp;E340&amp;IF(ISNUMBER(SEARCH("PAS",G340)),"","_")&amp;(_xlfn.TEXTJOIN("_",TRUE,IF(G340 &lt;&gt; "PAS",G340:H340,""))&amp;(IF(Table1[[#This Row],[Sub-Area]]&lt;&gt;"",_xlfn.CONCAT("_",Table1[[#This Row],[Sub-Area]]),"")))</f>
        <v>LAR_CAR_SIS_SE_TRX_11SPLC0008</v>
      </c>
      <c r="L340" s="32" t="str">
        <f>IF(I340 &lt;&gt; "",I340&amp;":\PAS\CBR\ProcessedFiles\"&amp;Table1[[#This Row],[Units]]&amp;"\"&amp;Table1[[#This Row],[Asset Type]]&amp;"\"&amp;K340,"")</f>
        <v>D:\PAS\CBR\ProcessedFiles\CAR\SIS\LAR_CAR_SIS_SE_TRX_11SPLC0008</v>
      </c>
      <c r="M340" s="33" t="str">
        <f>"MKDIR "&amp;Table1[[#This Row],[Suggested Folder Naming]]</f>
        <v>MKDIR D:\PAS\CBR\ProcessedFiles\CAR\SIS\LAR_CAR_SIS_SE_TRX_11SPLC0008</v>
      </c>
    </row>
    <row r="341" spans="1:13" x14ac:dyDescent="0.25">
      <c r="A341" s="21"/>
      <c r="B341" s="7" t="s">
        <v>584</v>
      </c>
      <c r="C341" s="8" t="s">
        <v>477</v>
      </c>
      <c r="D341" s="19" t="s">
        <v>269</v>
      </c>
      <c r="E341" s="30" t="s">
        <v>230</v>
      </c>
      <c r="F341" s="31" t="s">
        <v>265</v>
      </c>
      <c r="G341" s="31" t="str">
        <f>_xlfn.IFNA(VLOOKUP(F341,'[2]Look Table'!B$1:E$64,3,FALSE),"")</f>
        <v>SE</v>
      </c>
      <c r="H341" s="31" t="str">
        <f>_xlfn.IFNA(VLOOKUP(F341,'[2]Look Table'!B$1:E$64,4,FALSE),"")</f>
        <v>TRX</v>
      </c>
      <c r="I341" s="41" t="s">
        <v>463</v>
      </c>
      <c r="J341" s="31" t="str">
        <f t="shared" si="5"/>
        <v>LAR_CAR</v>
      </c>
      <c r="K341" s="3" t="str">
        <f>J341&amp;"_"&amp;E341&amp;IF(ISNUMBER(SEARCH("PAS",G341)),"","_")&amp;(_xlfn.TEXTJOIN("_",TRUE,IF(G341 &lt;&gt; "PAS",G341:H341,""))&amp;(IF(Table1[[#This Row],[Sub-Area]]&lt;&gt;"",_xlfn.CONCAT("_",Table1[[#This Row],[Sub-Area]]),"")))</f>
        <v>LAR_CAR_SIS_SE_TRX_11SPLC0011</v>
      </c>
      <c r="L341" s="32" t="str">
        <f>IF(I341 &lt;&gt; "",I341&amp;":\PAS\CBR\ProcessedFiles\"&amp;Table1[[#This Row],[Units]]&amp;"\"&amp;Table1[[#This Row],[Asset Type]]&amp;"\"&amp;K341,"")</f>
        <v>D:\PAS\CBR\ProcessedFiles\CAR\SIS\LAR_CAR_SIS_SE_TRX_11SPLC0011</v>
      </c>
      <c r="M341" s="33" t="str">
        <f>"MKDIR "&amp;Table1[[#This Row],[Suggested Folder Naming]]</f>
        <v>MKDIR D:\PAS\CBR\ProcessedFiles\CAR\SIS\LAR_CAR_SIS_SE_TRX_11SPLC0011</v>
      </c>
    </row>
    <row r="342" spans="1:13" x14ac:dyDescent="0.25">
      <c r="A342" s="21"/>
      <c r="B342" s="7" t="s">
        <v>584</v>
      </c>
      <c r="C342" s="8" t="s">
        <v>477</v>
      </c>
      <c r="D342" s="19" t="s">
        <v>270</v>
      </c>
      <c r="E342" s="30" t="s">
        <v>230</v>
      </c>
      <c r="F342" s="31" t="s">
        <v>265</v>
      </c>
      <c r="G342" s="31" t="str">
        <f>_xlfn.IFNA(VLOOKUP(F342,'[2]Look Table'!B$1:E$64,3,FALSE),"")</f>
        <v>SE</v>
      </c>
      <c r="H342" s="31" t="str">
        <f>_xlfn.IFNA(VLOOKUP(F342,'[2]Look Table'!B$1:E$64,4,FALSE),"")</f>
        <v>TRX</v>
      </c>
      <c r="I342" s="41" t="s">
        <v>463</v>
      </c>
      <c r="J342" s="31" t="str">
        <f t="shared" si="5"/>
        <v>LAR_CAR</v>
      </c>
      <c r="K342" s="3" t="str">
        <f>J342&amp;"_"&amp;E342&amp;IF(ISNUMBER(SEARCH("PAS",G342)),"","_")&amp;(_xlfn.TEXTJOIN("_",TRUE,IF(G342 &lt;&gt; "PAS",G342:H342,""))&amp;(IF(Table1[[#This Row],[Sub-Area]]&lt;&gt;"",_xlfn.CONCAT("_",Table1[[#This Row],[Sub-Area]]),"")))</f>
        <v>LAR_CAR_SIS_SE_TRX_11SPLC0024</v>
      </c>
      <c r="L342" s="32" t="str">
        <f>IF(I342 &lt;&gt; "",I342&amp;":\PAS\CBR\ProcessedFiles\"&amp;Table1[[#This Row],[Units]]&amp;"\"&amp;Table1[[#This Row],[Asset Type]]&amp;"\"&amp;K342,"")</f>
        <v>D:\PAS\CBR\ProcessedFiles\CAR\SIS\LAR_CAR_SIS_SE_TRX_11SPLC0024</v>
      </c>
      <c r="M342" s="33" t="str">
        <f>"MKDIR "&amp;Table1[[#This Row],[Suggested Folder Naming]]</f>
        <v>MKDIR D:\PAS\CBR\ProcessedFiles\CAR\SIS\LAR_CAR_SIS_SE_TRX_11SPLC0024</v>
      </c>
    </row>
    <row r="343" spans="1:13" x14ac:dyDescent="0.25">
      <c r="A343" s="21"/>
      <c r="B343" s="7" t="s">
        <v>584</v>
      </c>
      <c r="C343" s="8" t="s">
        <v>477</v>
      </c>
      <c r="D343" s="19" t="s">
        <v>271</v>
      </c>
      <c r="E343" s="30" t="s">
        <v>230</v>
      </c>
      <c r="F343" s="31" t="s">
        <v>265</v>
      </c>
      <c r="G343" s="31" t="str">
        <f>_xlfn.IFNA(VLOOKUP(F343,'Look Table'!B$1:E$64,3,FALSE),"")</f>
        <v>SE</v>
      </c>
      <c r="H343" s="31" t="str">
        <f>_xlfn.IFNA(VLOOKUP(F343,'Look Table'!B$1:E$64,4,FALSE),"")</f>
        <v>TRX</v>
      </c>
      <c r="I343" s="41" t="s">
        <v>463</v>
      </c>
      <c r="J343" s="31" t="str">
        <f t="shared" si="5"/>
        <v>LAR_CAR</v>
      </c>
      <c r="K343" s="3" t="str">
        <f>J343&amp;"_"&amp;E343&amp;IF(ISNUMBER(SEARCH("PAS",G343)),"","_")&amp;(_xlfn.TEXTJOIN("_",TRUE,IF(G343 &lt;&gt; "PAS",G343:H343,""))&amp;(IF(Table1[[#This Row],[Sub-Area]]&lt;&gt;"",_xlfn.CONCAT("_",Table1[[#This Row],[Sub-Area]]),"")))</f>
        <v>LAR_CAR_SIS_SE_TRX_19SPLC0018</v>
      </c>
      <c r="L343" s="32" t="str">
        <f>IF(I343 &lt;&gt; "",I343&amp;":\PAS\CBR\ProcessedFiles\"&amp;Table1[[#This Row],[Units]]&amp;"\"&amp;Table1[[#This Row],[Asset Type]]&amp;"\"&amp;K343,"")</f>
        <v>D:\PAS\CBR\ProcessedFiles\CAR\SIS\LAR_CAR_SIS_SE_TRX_19SPLC0018</v>
      </c>
      <c r="M343" s="33" t="str">
        <f>"MKDIR "&amp;Table1[[#This Row],[Suggested Folder Naming]]</f>
        <v>MKDIR D:\PAS\CBR\ProcessedFiles\CAR\SIS\LAR_CAR_SIS_SE_TRX_19SPLC0018</v>
      </c>
    </row>
    <row r="344" spans="1:13" x14ac:dyDescent="0.25">
      <c r="A344" s="21"/>
      <c r="B344" s="7" t="s">
        <v>584</v>
      </c>
      <c r="C344" s="8" t="s">
        <v>477</v>
      </c>
      <c r="D344" s="19" t="s">
        <v>271</v>
      </c>
      <c r="E344" s="30" t="s">
        <v>230</v>
      </c>
      <c r="F344" s="31" t="s">
        <v>265</v>
      </c>
      <c r="G344" s="31" t="str">
        <f>_xlfn.IFNA(VLOOKUP(F344,'Look Table'!B$1:E$64,3,FALSE),"")</f>
        <v>SE</v>
      </c>
      <c r="H344" s="31" t="str">
        <f>_xlfn.IFNA(VLOOKUP(F344,'Look Table'!B$1:E$64,4,FALSE),"")</f>
        <v>TRX</v>
      </c>
      <c r="I344" s="41" t="s">
        <v>463</v>
      </c>
      <c r="J344" s="31" t="str">
        <f t="shared" si="5"/>
        <v>LAR_CAR</v>
      </c>
      <c r="K344" s="3" t="str">
        <f>J344&amp;"_"&amp;E344&amp;IF(ISNUMBER(SEARCH("PAS",G344)),"","_")&amp;(_xlfn.TEXTJOIN("_",TRUE,IF(G344 &lt;&gt; "PAS",G344:H344,""))&amp;(IF(Table1[[#This Row],[Sub-Area]]&lt;&gt;"",_xlfn.CONCAT("_",Table1[[#This Row],[Sub-Area]]),"")))</f>
        <v>LAR_CAR_SIS_SE_TRX_19SPLC0018</v>
      </c>
      <c r="L344" s="32" t="str">
        <f>IF(I344 &lt;&gt; "",I344&amp;":\PAS\CBR\ProcessedFiles\"&amp;Table1[[#This Row],[Units]]&amp;"\"&amp;Table1[[#This Row],[Asset Type]]&amp;"\"&amp;K344,"")</f>
        <v>D:\PAS\CBR\ProcessedFiles\CAR\SIS\LAR_CAR_SIS_SE_TRX_19SPLC0018</v>
      </c>
      <c r="M344" s="33" t="str">
        <f>"MKDIR "&amp;Table1[[#This Row],[Suggested Folder Naming]]</f>
        <v>MKDIR D:\PAS\CBR\ProcessedFiles\CAR\SIS\LAR_CAR_SIS_SE_TRX_19SPLC0018</v>
      </c>
    </row>
    <row r="345" spans="1:13" x14ac:dyDescent="0.25">
      <c r="A345" s="21"/>
      <c r="B345" s="7" t="s">
        <v>584</v>
      </c>
      <c r="C345" s="8" t="s">
        <v>477</v>
      </c>
      <c r="D345" s="19" t="s">
        <v>272</v>
      </c>
      <c r="E345" s="30" t="s">
        <v>230</v>
      </c>
      <c r="F345" s="31" t="s">
        <v>265</v>
      </c>
      <c r="G345" s="31" t="str">
        <f>_xlfn.IFNA(VLOOKUP(F345,'Look Table'!B$1:E$64,3,FALSE),"")</f>
        <v>SE</v>
      </c>
      <c r="H345" s="31" t="str">
        <f>_xlfn.IFNA(VLOOKUP(F345,'Look Table'!B$1:E$64,4,FALSE),"")</f>
        <v>TRX</v>
      </c>
      <c r="I345" s="41" t="s">
        <v>463</v>
      </c>
      <c r="J345" s="31" t="str">
        <f t="shared" si="5"/>
        <v>LAR_CAR</v>
      </c>
      <c r="K345" s="3" t="str">
        <f>J345&amp;"_"&amp;E345&amp;IF(ISNUMBER(SEARCH("PAS",G345)),"","_")&amp;(_xlfn.TEXTJOIN("_",TRUE,IF(G345 &lt;&gt; "PAS",G345:H345,""))&amp;(IF(Table1[[#This Row],[Sub-Area]]&lt;&gt;"",_xlfn.CONCAT("_",Table1[[#This Row],[Sub-Area]]),"")))</f>
        <v>LAR_CAR_SIS_SE_TRX_22SPLC0026</v>
      </c>
      <c r="L345" s="32" t="str">
        <f>IF(I345 &lt;&gt; "",I345&amp;":\PAS\CBR\ProcessedFiles\"&amp;Table1[[#This Row],[Units]]&amp;"\"&amp;Table1[[#This Row],[Asset Type]]&amp;"\"&amp;K345,"")</f>
        <v>D:\PAS\CBR\ProcessedFiles\CAR\SIS\LAR_CAR_SIS_SE_TRX_22SPLC0026</v>
      </c>
      <c r="M345" s="33" t="str">
        <f>"MKDIR "&amp;Table1[[#This Row],[Suggested Folder Naming]]</f>
        <v>MKDIR D:\PAS\CBR\ProcessedFiles\CAR\SIS\LAR_CAR_SIS_SE_TRX_22SPLC0026</v>
      </c>
    </row>
    <row r="346" spans="1:13" x14ac:dyDescent="0.25">
      <c r="A346" s="21"/>
      <c r="B346" s="7" t="s">
        <v>584</v>
      </c>
      <c r="C346" s="8" t="s">
        <v>477</v>
      </c>
      <c r="D346" s="19" t="s">
        <v>273</v>
      </c>
      <c r="E346" s="30" t="s">
        <v>230</v>
      </c>
      <c r="F346" s="31" t="s">
        <v>265</v>
      </c>
      <c r="G346" s="31" t="str">
        <f>_xlfn.IFNA(VLOOKUP(F346,'Look Table'!B$1:E$64,3,FALSE),"")</f>
        <v>SE</v>
      </c>
      <c r="H346" s="31" t="str">
        <f>_xlfn.IFNA(VLOOKUP(F346,'Look Table'!B$1:E$64,4,FALSE),"")</f>
        <v>TRX</v>
      </c>
      <c r="I346" s="41" t="s">
        <v>463</v>
      </c>
      <c r="J346" s="31" t="str">
        <f t="shared" si="5"/>
        <v>LAR_CAR</v>
      </c>
      <c r="K346" s="3" t="str">
        <f>J346&amp;"_"&amp;E346&amp;IF(ISNUMBER(SEARCH("PAS",G346)),"","_")&amp;(_xlfn.TEXTJOIN("_",TRUE,IF(G346 &lt;&gt; "PAS",G346:H346,""))&amp;(IF(Table1[[#This Row],[Sub-Area]]&lt;&gt;"",_xlfn.CONCAT("_",Table1[[#This Row],[Sub-Area]]),"")))</f>
        <v>LAR_CAR_SIS_SE_TRX_22SPLC0027</v>
      </c>
      <c r="L346" s="32" t="str">
        <f>IF(I346 &lt;&gt; "",I346&amp;":\PAS\CBR\ProcessedFiles\"&amp;Table1[[#This Row],[Units]]&amp;"\"&amp;Table1[[#This Row],[Asset Type]]&amp;"\"&amp;K346,"")</f>
        <v>D:\PAS\CBR\ProcessedFiles\CAR\SIS\LAR_CAR_SIS_SE_TRX_22SPLC0027</v>
      </c>
      <c r="M346" s="33" t="str">
        <f>"MKDIR "&amp;Table1[[#This Row],[Suggested Folder Naming]]</f>
        <v>MKDIR D:\PAS\CBR\ProcessedFiles\CAR\SIS\LAR_CAR_SIS_SE_TRX_22SPLC0027</v>
      </c>
    </row>
    <row r="347" spans="1:13" x14ac:dyDescent="0.25">
      <c r="A347" s="21"/>
      <c r="B347" s="7" t="s">
        <v>584</v>
      </c>
      <c r="C347" s="8" t="s">
        <v>477</v>
      </c>
      <c r="D347" s="19" t="s">
        <v>274</v>
      </c>
      <c r="E347" s="30" t="s">
        <v>230</v>
      </c>
      <c r="F347" s="31" t="s">
        <v>265</v>
      </c>
      <c r="G347" s="31" t="str">
        <f>_xlfn.IFNA(VLOOKUP(F347,'[2]Look Table'!B$1:E$64,3,FALSE),"")</f>
        <v>SE</v>
      </c>
      <c r="H347" s="31" t="str">
        <f>_xlfn.IFNA(VLOOKUP(F347,'[2]Look Table'!B$1:E$64,4,FALSE),"")</f>
        <v>TRX</v>
      </c>
      <c r="I347" s="41" t="s">
        <v>463</v>
      </c>
      <c r="J347" s="31" t="str">
        <f t="shared" si="5"/>
        <v>LAR_CAR</v>
      </c>
      <c r="K347" s="3" t="str">
        <f>J347&amp;"_"&amp;E347&amp;IF(ISNUMBER(SEARCH("PAS",G347)),"","_")&amp;(_xlfn.TEXTJOIN("_",TRUE,IF(G347 &lt;&gt; "PAS",G347:H347,""))&amp;(IF(Table1[[#This Row],[Sub-Area]]&lt;&gt;"",_xlfn.CONCAT("_",Table1[[#This Row],[Sub-Area]]),"")))</f>
        <v>LAR_CAR_SIS_SE_TRX_23SPLC0009</v>
      </c>
      <c r="L347" s="32" t="str">
        <f>IF(I347 &lt;&gt; "",I347&amp;":\PAS\CBR\ProcessedFiles\"&amp;Table1[[#This Row],[Units]]&amp;"\"&amp;Table1[[#This Row],[Asset Type]]&amp;"\"&amp;K347,"")</f>
        <v>D:\PAS\CBR\ProcessedFiles\CAR\SIS\LAR_CAR_SIS_SE_TRX_23SPLC0009</v>
      </c>
      <c r="M347" s="33" t="str">
        <f>"MKDIR "&amp;Table1[[#This Row],[Suggested Folder Naming]]</f>
        <v>MKDIR D:\PAS\CBR\ProcessedFiles\CAR\SIS\LAR_CAR_SIS_SE_TRX_23SPLC0009</v>
      </c>
    </row>
    <row r="348" spans="1:13" x14ac:dyDescent="0.25">
      <c r="A348" s="21"/>
      <c r="B348" s="7" t="s">
        <v>584</v>
      </c>
      <c r="C348" s="8" t="s">
        <v>477</v>
      </c>
      <c r="D348" s="19" t="s">
        <v>275</v>
      </c>
      <c r="E348" s="30" t="s">
        <v>230</v>
      </c>
      <c r="F348" s="31" t="s">
        <v>265</v>
      </c>
      <c r="G348" s="31" t="str">
        <f>_xlfn.IFNA(VLOOKUP(F348,'[2]Look Table'!B$1:E$64,3,FALSE),"")</f>
        <v>SE</v>
      </c>
      <c r="H348" s="31" t="str">
        <f>_xlfn.IFNA(VLOOKUP(F348,'[2]Look Table'!B$1:E$64,4,FALSE),"")</f>
        <v>TRX</v>
      </c>
      <c r="I348" s="41" t="s">
        <v>463</v>
      </c>
      <c r="J348" s="31" t="str">
        <f t="shared" si="5"/>
        <v>LAR_CAR</v>
      </c>
      <c r="K348" s="3" t="str">
        <f>J348&amp;"_"&amp;E348&amp;IF(ISNUMBER(SEARCH("PAS",G348)),"","_")&amp;(_xlfn.TEXTJOIN("_",TRUE,IF(G348 &lt;&gt; "PAS",G348:H348,""))&amp;(IF(Table1[[#This Row],[Sub-Area]]&lt;&gt;"",_xlfn.CONCAT("_",Table1[[#This Row],[Sub-Area]]),"")))</f>
        <v>LAR_CAR_SIS_SE_TRX_23SPLC0012</v>
      </c>
      <c r="L348" s="32" t="str">
        <f>IF(I348 &lt;&gt; "",I348&amp;":\PAS\CBR\ProcessedFiles\"&amp;Table1[[#This Row],[Units]]&amp;"\"&amp;Table1[[#This Row],[Asset Type]]&amp;"\"&amp;K348,"")</f>
        <v>D:\PAS\CBR\ProcessedFiles\CAR\SIS\LAR_CAR_SIS_SE_TRX_23SPLC0012</v>
      </c>
      <c r="M348" s="33" t="str">
        <f>"MKDIR "&amp;Table1[[#This Row],[Suggested Folder Naming]]</f>
        <v>MKDIR D:\PAS\CBR\ProcessedFiles\CAR\SIS\LAR_CAR_SIS_SE_TRX_23SPLC0012</v>
      </c>
    </row>
    <row r="349" spans="1:13" x14ac:dyDescent="0.25">
      <c r="A349" s="21"/>
      <c r="B349" s="7" t="s">
        <v>584</v>
      </c>
      <c r="C349" s="8" t="s">
        <v>477</v>
      </c>
      <c r="D349" s="19" t="s">
        <v>276</v>
      </c>
      <c r="E349" s="30" t="s">
        <v>230</v>
      </c>
      <c r="F349" s="31" t="s">
        <v>265</v>
      </c>
      <c r="G349" s="31" t="str">
        <f>_xlfn.IFNA(VLOOKUP(F349,'[2]Look Table'!B$1:E$64,3,FALSE),"")</f>
        <v>SE</v>
      </c>
      <c r="H349" s="31" t="str">
        <f>_xlfn.IFNA(VLOOKUP(F349,'[2]Look Table'!B$1:E$64,4,FALSE),"")</f>
        <v>TRX</v>
      </c>
      <c r="I349" s="41" t="s">
        <v>463</v>
      </c>
      <c r="J349" s="31" t="str">
        <f t="shared" si="5"/>
        <v>LAR_CAR</v>
      </c>
      <c r="K349" s="3" t="str">
        <f>J349&amp;"_"&amp;E349&amp;IF(ISNUMBER(SEARCH("PAS",G349)),"","_")&amp;(_xlfn.TEXTJOIN("_",TRUE,IF(G349 &lt;&gt; "PAS",G349:H349,""))&amp;(IF(Table1[[#This Row],[Sub-Area]]&lt;&gt;"",_xlfn.CONCAT("_",Table1[[#This Row],[Sub-Area]]),"")))</f>
        <v>LAR_CAR_SIS_SE_TRX_25SPLC0025</v>
      </c>
      <c r="L349" s="32" t="str">
        <f>IF(I349 &lt;&gt; "",I349&amp;":\PAS\CBR\ProcessedFiles\"&amp;Table1[[#This Row],[Units]]&amp;"\"&amp;Table1[[#This Row],[Asset Type]]&amp;"\"&amp;K349,"")</f>
        <v>D:\PAS\CBR\ProcessedFiles\CAR\SIS\LAR_CAR_SIS_SE_TRX_25SPLC0025</v>
      </c>
      <c r="M349" s="33" t="str">
        <f>"MKDIR "&amp;Table1[[#This Row],[Suggested Folder Naming]]</f>
        <v>MKDIR D:\PAS\CBR\ProcessedFiles\CAR\SIS\LAR_CAR_SIS_SE_TRX_25SPLC0025</v>
      </c>
    </row>
    <row r="350" spans="1:13" x14ac:dyDescent="0.25">
      <c r="A350" s="21"/>
      <c r="B350" s="7" t="s">
        <v>584</v>
      </c>
      <c r="C350" s="8" t="s">
        <v>477</v>
      </c>
      <c r="D350" s="19" t="s">
        <v>277</v>
      </c>
      <c r="E350" s="30" t="s">
        <v>230</v>
      </c>
      <c r="F350" s="31" t="s">
        <v>265</v>
      </c>
      <c r="G350" s="31" t="str">
        <f>_xlfn.IFNA(VLOOKUP(F350,'[2]Look Table'!B$1:E$64,3,FALSE),"")</f>
        <v>SE</v>
      </c>
      <c r="H350" s="31" t="str">
        <f>_xlfn.IFNA(VLOOKUP(F350,'[2]Look Table'!B$1:E$64,4,FALSE),"")</f>
        <v>TRX</v>
      </c>
      <c r="I350" s="41" t="s">
        <v>463</v>
      </c>
      <c r="J350" s="31" t="str">
        <f t="shared" si="5"/>
        <v>LAR_CAR</v>
      </c>
      <c r="K350" s="3" t="str">
        <f>J350&amp;"_"&amp;E350&amp;IF(ISNUMBER(SEARCH("PAS",G350)),"","_")&amp;(_xlfn.TEXTJOIN("_",TRUE,IF(G350 &lt;&gt; "PAS",G350:H350,""))&amp;(IF(Table1[[#This Row],[Sub-Area]]&lt;&gt;"",_xlfn.CONCAT("_",Table1[[#This Row],[Sub-Area]]),"")))</f>
        <v>LAR_CAR_SIS_SE_TRX_27SPLC0034</v>
      </c>
      <c r="L350" s="32" t="str">
        <f>IF(I350 &lt;&gt; "",I350&amp;":\PAS\CBR\ProcessedFiles\"&amp;Table1[[#This Row],[Units]]&amp;"\"&amp;Table1[[#This Row],[Asset Type]]&amp;"\"&amp;K350,"")</f>
        <v>D:\PAS\CBR\ProcessedFiles\CAR\SIS\LAR_CAR_SIS_SE_TRX_27SPLC0034</v>
      </c>
      <c r="M350" s="33" t="str">
        <f>"MKDIR "&amp;Table1[[#This Row],[Suggested Folder Naming]]</f>
        <v>MKDIR D:\PAS\CBR\ProcessedFiles\CAR\SIS\LAR_CAR_SIS_SE_TRX_27SPLC0034</v>
      </c>
    </row>
    <row r="351" spans="1:13" x14ac:dyDescent="0.25">
      <c r="A351" s="21"/>
      <c r="B351" s="7" t="s">
        <v>584</v>
      </c>
      <c r="C351" s="8" t="s">
        <v>477</v>
      </c>
      <c r="D351" s="19" t="s">
        <v>278</v>
      </c>
      <c r="E351" s="30" t="s">
        <v>230</v>
      </c>
      <c r="F351" s="31" t="s">
        <v>265</v>
      </c>
      <c r="G351" s="31" t="str">
        <f>_xlfn.IFNA(VLOOKUP(F351,'Look Table'!B$1:E$64,3,FALSE),"")</f>
        <v>SE</v>
      </c>
      <c r="H351" s="31" t="str">
        <f>_xlfn.IFNA(VLOOKUP(F351,'Look Table'!B$1:E$64,4,FALSE),"")</f>
        <v>TRX</v>
      </c>
      <c r="I351" s="41" t="s">
        <v>463</v>
      </c>
      <c r="J351" s="31" t="str">
        <f t="shared" si="5"/>
        <v>LAR_CAR</v>
      </c>
      <c r="K351" s="3" t="str">
        <f>J351&amp;"_"&amp;E351&amp;IF(ISNUMBER(SEARCH("PAS",G351)),"","_")&amp;(_xlfn.TEXTJOIN("_",TRUE,IF(G351 &lt;&gt; "PAS",G351:H351,""))&amp;(IF(Table1[[#This Row],[Sub-Area]]&lt;&gt;"",_xlfn.CONCAT("_",Table1[[#This Row],[Sub-Area]]),"")))</f>
        <v>LAR_CAR_SIS_SE_TRX_31SPLC0031</v>
      </c>
      <c r="L351" s="32" t="str">
        <f>IF(I351 &lt;&gt; "",I351&amp;":\PAS\CBR\ProcessedFiles\"&amp;Table1[[#This Row],[Units]]&amp;"\"&amp;Table1[[#This Row],[Asset Type]]&amp;"\"&amp;K351,"")</f>
        <v>D:\PAS\CBR\ProcessedFiles\CAR\SIS\LAR_CAR_SIS_SE_TRX_31SPLC0031</v>
      </c>
      <c r="M351" s="33" t="str">
        <f>"MKDIR "&amp;Table1[[#This Row],[Suggested Folder Naming]]</f>
        <v>MKDIR D:\PAS\CBR\ProcessedFiles\CAR\SIS\LAR_CAR_SIS_SE_TRX_31SPLC0031</v>
      </c>
    </row>
    <row r="352" spans="1:13" x14ac:dyDescent="0.25">
      <c r="A352" s="21"/>
      <c r="B352" s="7" t="s">
        <v>584</v>
      </c>
      <c r="C352" s="8" t="s">
        <v>477</v>
      </c>
      <c r="D352" s="19" t="s">
        <v>279</v>
      </c>
      <c r="E352" s="30" t="s">
        <v>230</v>
      </c>
      <c r="F352" s="31" t="s">
        <v>265</v>
      </c>
      <c r="G352" s="31" t="str">
        <f>_xlfn.IFNA(VLOOKUP(F352,'Look Table'!B$1:E$64,3,FALSE),"")</f>
        <v>SE</v>
      </c>
      <c r="H352" s="31" t="str">
        <f>_xlfn.IFNA(VLOOKUP(F352,'Look Table'!B$1:E$64,4,FALSE),"")</f>
        <v>TRX</v>
      </c>
      <c r="I352" s="41" t="s">
        <v>463</v>
      </c>
      <c r="J352" s="31" t="str">
        <f t="shared" si="5"/>
        <v>LAR_CAR</v>
      </c>
      <c r="K352" s="3" t="str">
        <f>J352&amp;"_"&amp;E352&amp;IF(ISNUMBER(SEARCH("PAS",G352)),"","_")&amp;(_xlfn.TEXTJOIN("_",TRUE,IF(G352 &lt;&gt; "PAS",G352:H352,""))&amp;(IF(Table1[[#This Row],[Sub-Area]]&lt;&gt;"",_xlfn.CONCAT("_",Table1[[#This Row],[Sub-Area]]),"")))</f>
        <v>LAR_CAR_SIS_SE_TRX_34SPLC0034</v>
      </c>
      <c r="L352" s="32" t="str">
        <f>IF(I352 &lt;&gt; "",I352&amp;":\PAS\CBR\ProcessedFiles\"&amp;Table1[[#This Row],[Units]]&amp;"\"&amp;Table1[[#This Row],[Asset Type]]&amp;"\"&amp;K352,"")</f>
        <v>D:\PAS\CBR\ProcessedFiles\CAR\SIS\LAR_CAR_SIS_SE_TRX_34SPLC0034</v>
      </c>
      <c r="M352" s="33" t="str">
        <f>"MKDIR "&amp;Table1[[#This Row],[Suggested Folder Naming]]</f>
        <v>MKDIR D:\PAS\CBR\ProcessedFiles\CAR\SIS\LAR_CAR_SIS_SE_TRX_34SPLC0034</v>
      </c>
    </row>
    <row r="353" spans="1:13" x14ac:dyDescent="0.25">
      <c r="A353" s="21"/>
      <c r="B353" s="7" t="s">
        <v>584</v>
      </c>
      <c r="C353" s="8" t="s">
        <v>477</v>
      </c>
      <c r="D353" s="19" t="s">
        <v>280</v>
      </c>
      <c r="E353" s="30" t="s">
        <v>230</v>
      </c>
      <c r="F353" s="31" t="s">
        <v>265</v>
      </c>
      <c r="G353" s="31" t="str">
        <f>_xlfn.IFNA(VLOOKUP(F353,'Look Table'!B$1:E$64,3,FALSE),"")</f>
        <v>SE</v>
      </c>
      <c r="H353" s="31" t="str">
        <f>_xlfn.IFNA(VLOOKUP(F353,'Look Table'!B$1:E$64,4,FALSE),"")</f>
        <v>TRX</v>
      </c>
      <c r="I353" s="41" t="s">
        <v>463</v>
      </c>
      <c r="J353" s="31" t="str">
        <f t="shared" si="5"/>
        <v>LAR_CAR</v>
      </c>
      <c r="K353" s="3" t="str">
        <f>J353&amp;"_"&amp;E353&amp;IF(ISNUMBER(SEARCH("PAS",G353)),"","_")&amp;(_xlfn.TEXTJOIN("_",TRUE,IF(G353 &lt;&gt; "PAS",G353:H353,""))&amp;(IF(Table1[[#This Row],[Sub-Area]]&lt;&gt;"",_xlfn.CONCAT("_",Table1[[#This Row],[Sub-Area]]),"")))</f>
        <v>LAR_CAR_SIS_SE_TRX_51SPLC0033</v>
      </c>
      <c r="L353" s="32" t="str">
        <f>IF(I353 &lt;&gt; "",I353&amp;":\PAS\CBR\ProcessedFiles\"&amp;Table1[[#This Row],[Units]]&amp;"\"&amp;Table1[[#This Row],[Asset Type]]&amp;"\"&amp;K353,"")</f>
        <v>D:\PAS\CBR\ProcessedFiles\CAR\SIS\LAR_CAR_SIS_SE_TRX_51SPLC0033</v>
      </c>
      <c r="M353" s="33" t="str">
        <f>"MKDIR "&amp;Table1[[#This Row],[Suggested Folder Naming]]</f>
        <v>MKDIR D:\PAS\CBR\ProcessedFiles\CAR\SIS\LAR_CAR_SIS_SE_TRX_51SPLC0033</v>
      </c>
    </row>
    <row r="354" spans="1:13" x14ac:dyDescent="0.25">
      <c r="A354" s="21"/>
      <c r="B354" s="7" t="s">
        <v>584</v>
      </c>
      <c r="C354" s="8" t="s">
        <v>477</v>
      </c>
      <c r="D354" s="19" t="s">
        <v>281</v>
      </c>
      <c r="E354" s="30" t="s">
        <v>230</v>
      </c>
      <c r="F354" s="31" t="s">
        <v>265</v>
      </c>
      <c r="G354" s="31" t="str">
        <f>_xlfn.IFNA(VLOOKUP(F354,'[2]Look Table'!B$1:E$64,3,FALSE),"")</f>
        <v>SE</v>
      </c>
      <c r="H354" s="31" t="str">
        <f>_xlfn.IFNA(VLOOKUP(F354,'[2]Look Table'!B$1:E$64,4,FALSE),"")</f>
        <v>TRX</v>
      </c>
      <c r="I354" s="41" t="s">
        <v>463</v>
      </c>
      <c r="J354" s="31" t="str">
        <f t="shared" si="5"/>
        <v>LAR_CAR</v>
      </c>
      <c r="K354" s="3" t="str">
        <f>J354&amp;"_"&amp;E354&amp;IF(ISNUMBER(SEARCH("PAS",G354)),"","_")&amp;(_xlfn.TEXTJOIN("_",TRUE,IF(G354 &lt;&gt; "PAS",G354:H354,""))&amp;(IF(Table1[[#This Row],[Sub-Area]]&lt;&gt;"",_xlfn.CONCAT("_",Table1[[#This Row],[Sub-Area]]),"")))</f>
        <v>LAR_CAR_SIS_SE_TRX_57SPLC0015</v>
      </c>
      <c r="L354" s="32" t="str">
        <f>IF(I354 &lt;&gt; "",I354&amp;":\PAS\CBR\ProcessedFiles\"&amp;Table1[[#This Row],[Units]]&amp;"\"&amp;Table1[[#This Row],[Asset Type]]&amp;"\"&amp;K354,"")</f>
        <v>D:\PAS\CBR\ProcessedFiles\CAR\SIS\LAR_CAR_SIS_SE_TRX_57SPLC0015</v>
      </c>
      <c r="M354" s="33" t="str">
        <f>"MKDIR "&amp;Table1[[#This Row],[Suggested Folder Naming]]</f>
        <v>MKDIR D:\PAS\CBR\ProcessedFiles\CAR\SIS\LAR_CAR_SIS_SE_TRX_57SPLC0015</v>
      </c>
    </row>
    <row r="355" spans="1:13" x14ac:dyDescent="0.25">
      <c r="A355" s="21"/>
      <c r="B355" s="7" t="s">
        <v>584</v>
      </c>
      <c r="C355" s="8" t="s">
        <v>477</v>
      </c>
      <c r="D355" s="19" t="s">
        <v>282</v>
      </c>
      <c r="E355" s="30" t="s">
        <v>230</v>
      </c>
      <c r="F355" s="31" t="s">
        <v>265</v>
      </c>
      <c r="G355" s="31" t="str">
        <f>_xlfn.IFNA(VLOOKUP(F355,'[2]Look Table'!B$1:E$64,3,FALSE),"")</f>
        <v>SE</v>
      </c>
      <c r="H355" s="31" t="str">
        <f>_xlfn.IFNA(VLOOKUP(F355,'[2]Look Table'!B$1:E$64,4,FALSE),"")</f>
        <v>TRX</v>
      </c>
      <c r="I355" s="41" t="s">
        <v>463</v>
      </c>
      <c r="J355" s="31" t="str">
        <f t="shared" si="5"/>
        <v>LAR_CAR</v>
      </c>
      <c r="K355" s="3" t="str">
        <f>J355&amp;"_"&amp;E355&amp;IF(ISNUMBER(SEARCH("PAS",G355)),"","_")&amp;(_xlfn.TEXTJOIN("_",TRUE,IF(G355 &lt;&gt; "PAS",G355:H355,""))&amp;(IF(Table1[[#This Row],[Sub-Area]]&lt;&gt;"",_xlfn.CONCAT("_",Table1[[#This Row],[Sub-Area]]),"")))</f>
        <v>LAR_CAR_SIS_SE_TRX_57SPLC0016</v>
      </c>
      <c r="L355" s="32" t="str">
        <f>IF(I355 &lt;&gt; "",I355&amp;":\PAS\CBR\ProcessedFiles\"&amp;Table1[[#This Row],[Units]]&amp;"\"&amp;Table1[[#This Row],[Asset Type]]&amp;"\"&amp;K355,"")</f>
        <v>D:\PAS\CBR\ProcessedFiles\CAR\SIS\LAR_CAR_SIS_SE_TRX_57SPLC0016</v>
      </c>
      <c r="M355" s="33" t="str">
        <f>"MKDIR "&amp;Table1[[#This Row],[Suggested Folder Naming]]</f>
        <v>MKDIR D:\PAS\CBR\ProcessedFiles\CAR\SIS\LAR_CAR_SIS_SE_TRX_57SPLC0016</v>
      </c>
    </row>
    <row r="356" spans="1:13" x14ac:dyDescent="0.25">
      <c r="A356" s="21"/>
      <c r="B356" s="7" t="s">
        <v>584</v>
      </c>
      <c r="C356" s="8" t="s">
        <v>477</v>
      </c>
      <c r="D356" s="19" t="s">
        <v>283</v>
      </c>
      <c r="E356" s="30" t="s">
        <v>230</v>
      </c>
      <c r="F356" s="31" t="s">
        <v>265</v>
      </c>
      <c r="G356" s="31" t="str">
        <f>_xlfn.IFNA(VLOOKUP(F356,'[2]Look Table'!B$1:E$64,3,FALSE),"")</f>
        <v>SE</v>
      </c>
      <c r="H356" s="31" t="str">
        <f>_xlfn.IFNA(VLOOKUP(F356,'[2]Look Table'!B$1:E$64,4,FALSE),"")</f>
        <v>TRX</v>
      </c>
      <c r="I356" s="41" t="s">
        <v>463</v>
      </c>
      <c r="J356" s="31" t="str">
        <f t="shared" si="5"/>
        <v>LAR_CAR</v>
      </c>
      <c r="K356" s="3" t="str">
        <f>J356&amp;"_"&amp;E356&amp;IF(ISNUMBER(SEARCH("PAS",G356)),"","_")&amp;(_xlfn.TEXTJOIN("_",TRUE,IF(G356 &lt;&gt; "PAS",G356:H356,""))&amp;(IF(Table1[[#This Row],[Sub-Area]]&lt;&gt;"",_xlfn.CONCAT("_",Table1[[#This Row],[Sub-Area]]),"")))</f>
        <v>LAR_CAR_SIS_SE_TRX_61SPLC0021</v>
      </c>
      <c r="L356" s="32" t="str">
        <f>IF(I356 &lt;&gt; "",I356&amp;":\PAS\CBR\ProcessedFiles\"&amp;Table1[[#This Row],[Units]]&amp;"\"&amp;Table1[[#This Row],[Asset Type]]&amp;"\"&amp;K356,"")</f>
        <v>D:\PAS\CBR\ProcessedFiles\CAR\SIS\LAR_CAR_SIS_SE_TRX_61SPLC0021</v>
      </c>
      <c r="M356" s="33" t="str">
        <f>"MKDIR "&amp;Table1[[#This Row],[Suggested Folder Naming]]</f>
        <v>MKDIR D:\PAS\CBR\ProcessedFiles\CAR\SIS\LAR_CAR_SIS_SE_TRX_61SPLC0021</v>
      </c>
    </row>
    <row r="357" spans="1:13" x14ac:dyDescent="0.25">
      <c r="A357" s="21"/>
      <c r="B357" s="7" t="s">
        <v>584</v>
      </c>
      <c r="C357" s="8" t="s">
        <v>477</v>
      </c>
      <c r="D357" s="19" t="s">
        <v>284</v>
      </c>
      <c r="E357" s="30" t="s">
        <v>230</v>
      </c>
      <c r="F357" s="31" t="s">
        <v>265</v>
      </c>
      <c r="G357" s="31" t="str">
        <f>_xlfn.IFNA(VLOOKUP(F357,'[2]Look Table'!B$1:E$64,3,FALSE),"")</f>
        <v>SE</v>
      </c>
      <c r="H357" s="31" t="str">
        <f>_xlfn.IFNA(VLOOKUP(F357,'[2]Look Table'!B$1:E$64,4,FALSE),"")</f>
        <v>TRX</v>
      </c>
      <c r="I357" s="41" t="s">
        <v>463</v>
      </c>
      <c r="J357" s="31" t="str">
        <f t="shared" si="5"/>
        <v>LAR_CAR</v>
      </c>
      <c r="K357" s="3" t="str">
        <f>J357&amp;"_"&amp;E357&amp;IF(ISNUMBER(SEARCH("PAS",G357)),"","_")&amp;(_xlfn.TEXTJOIN("_",TRUE,IF(G357 &lt;&gt; "PAS",G357:H357,""))&amp;(IF(Table1[[#This Row],[Sub-Area]]&lt;&gt;"",_xlfn.CONCAT("_",Table1[[#This Row],[Sub-Area]]),"")))</f>
        <v>LAR_CAR_SIS_SE_TRX_61SPLC0022</v>
      </c>
      <c r="L357" s="32" t="str">
        <f>IF(I357 &lt;&gt; "",I357&amp;":\PAS\CBR\ProcessedFiles\"&amp;Table1[[#This Row],[Units]]&amp;"\"&amp;Table1[[#This Row],[Asset Type]]&amp;"\"&amp;K357,"")</f>
        <v>D:\PAS\CBR\ProcessedFiles\CAR\SIS\LAR_CAR_SIS_SE_TRX_61SPLC0022</v>
      </c>
      <c r="M357" s="33" t="str">
        <f>"MKDIR "&amp;Table1[[#This Row],[Suggested Folder Naming]]</f>
        <v>MKDIR D:\PAS\CBR\ProcessedFiles\CAR\SIS\LAR_CAR_SIS_SE_TRX_61SPLC0022</v>
      </c>
    </row>
    <row r="358" spans="1:13" x14ac:dyDescent="0.25">
      <c r="A358" s="21"/>
      <c r="B358" s="7" t="s">
        <v>584</v>
      </c>
      <c r="C358" s="8" t="s">
        <v>477</v>
      </c>
      <c r="D358" s="19" t="s">
        <v>285</v>
      </c>
      <c r="E358" s="30" t="s">
        <v>230</v>
      </c>
      <c r="F358" s="31" t="s">
        <v>265</v>
      </c>
      <c r="G358" s="31" t="str">
        <f>_xlfn.IFNA(VLOOKUP(F358,'[2]Look Table'!B$1:E$64,3,FALSE),"")</f>
        <v>SE</v>
      </c>
      <c r="H358" s="31" t="str">
        <f>_xlfn.IFNA(VLOOKUP(F358,'[2]Look Table'!B$1:E$64,4,FALSE),"")</f>
        <v>TRX</v>
      </c>
      <c r="I358" s="41" t="s">
        <v>463</v>
      </c>
      <c r="J358" s="31" t="str">
        <f t="shared" si="5"/>
        <v>LAR_CAR</v>
      </c>
      <c r="K358" s="3" t="str">
        <f>J358&amp;"_"&amp;E358&amp;IF(ISNUMBER(SEARCH("PAS",G358)),"","_")&amp;(_xlfn.TEXTJOIN("_",TRUE,IF(G358 &lt;&gt; "PAS",G358:H358,""))&amp;(IF(Table1[[#This Row],[Sub-Area]]&lt;&gt;"",_xlfn.CONCAT("_",Table1[[#This Row],[Sub-Area]]),"")))</f>
        <v>LAR_CAR_SIS_SE_TRX_61SPLC0023</v>
      </c>
      <c r="L358" s="32" t="str">
        <f>IF(I358 &lt;&gt; "",I358&amp;":\PAS\CBR\ProcessedFiles\"&amp;Table1[[#This Row],[Units]]&amp;"\"&amp;Table1[[#This Row],[Asset Type]]&amp;"\"&amp;K358,"")</f>
        <v>D:\PAS\CBR\ProcessedFiles\CAR\SIS\LAR_CAR_SIS_SE_TRX_61SPLC0023</v>
      </c>
      <c r="M358" s="33" t="str">
        <f>"MKDIR "&amp;Table1[[#This Row],[Suggested Folder Naming]]</f>
        <v>MKDIR D:\PAS\CBR\ProcessedFiles\CAR\SIS\LAR_CAR_SIS_SE_TRX_61SPLC0023</v>
      </c>
    </row>
    <row r="359" spans="1:13" x14ac:dyDescent="0.25">
      <c r="A359" s="21"/>
      <c r="B359" s="7" t="s">
        <v>584</v>
      </c>
      <c r="C359" s="8" t="s">
        <v>477</v>
      </c>
      <c r="D359" s="19" t="s">
        <v>286</v>
      </c>
      <c r="E359" s="30" t="s">
        <v>230</v>
      </c>
      <c r="F359" s="31" t="s">
        <v>265</v>
      </c>
      <c r="G359" s="31" t="str">
        <f>_xlfn.IFNA(VLOOKUP(F359,'[2]Look Table'!B$1:E$64,3,FALSE),"")</f>
        <v>SE</v>
      </c>
      <c r="H359" s="31" t="str">
        <f>_xlfn.IFNA(VLOOKUP(F359,'[2]Look Table'!B$1:E$64,4,FALSE),"")</f>
        <v>TRX</v>
      </c>
      <c r="I359" s="41" t="s">
        <v>463</v>
      </c>
      <c r="J359" s="31" t="str">
        <f t="shared" si="5"/>
        <v>LAR_CAR</v>
      </c>
      <c r="K359" s="3" t="str">
        <f>J359&amp;"_"&amp;E359&amp;IF(ISNUMBER(SEARCH("PAS",G359)),"","_")&amp;(_xlfn.TEXTJOIN("_",TRUE,IF(G359 &lt;&gt; "PAS",G359:H359,""))&amp;(IF(Table1[[#This Row],[Sub-Area]]&lt;&gt;"",_xlfn.CONCAT("_",Table1[[#This Row],[Sub-Area]]),"")))</f>
        <v>LAR_CAR_SIS_SE_TRX_63SPLC0020</v>
      </c>
      <c r="L359" s="32" t="str">
        <f>IF(I359 &lt;&gt; "",I359&amp;":\PAS\CBR\ProcessedFiles\"&amp;Table1[[#This Row],[Units]]&amp;"\"&amp;Table1[[#This Row],[Asset Type]]&amp;"\"&amp;K359,"")</f>
        <v>D:\PAS\CBR\ProcessedFiles\CAR\SIS\LAR_CAR_SIS_SE_TRX_63SPLC0020</v>
      </c>
      <c r="M359" s="33" t="str">
        <f>"MKDIR "&amp;Table1[[#This Row],[Suggested Folder Naming]]</f>
        <v>MKDIR D:\PAS\CBR\ProcessedFiles\CAR\SIS\LAR_CAR_SIS_SE_TRX_63SPLC0020</v>
      </c>
    </row>
    <row r="360" spans="1:13" x14ac:dyDescent="0.25">
      <c r="A360" s="21"/>
      <c r="B360" s="7" t="s">
        <v>584</v>
      </c>
      <c r="C360" s="8" t="s">
        <v>477</v>
      </c>
      <c r="D360" s="19" t="s">
        <v>287</v>
      </c>
      <c r="E360" s="30" t="s">
        <v>230</v>
      </c>
      <c r="F360" s="31" t="s">
        <v>265</v>
      </c>
      <c r="G360" s="31" t="str">
        <f>_xlfn.IFNA(VLOOKUP(F360,'[2]Look Table'!B$1:E$64,3,FALSE),"")</f>
        <v>SE</v>
      </c>
      <c r="H360" s="31" t="str">
        <f>_xlfn.IFNA(VLOOKUP(F360,'[2]Look Table'!B$1:E$64,4,FALSE),"")</f>
        <v>TRX</v>
      </c>
      <c r="I360" s="41" t="s">
        <v>463</v>
      </c>
      <c r="J360" s="31" t="str">
        <f t="shared" si="5"/>
        <v>LAR_CAR</v>
      </c>
      <c r="K360" s="3" t="str">
        <f>J360&amp;"_"&amp;E360&amp;IF(ISNUMBER(SEARCH("PAS",G360)),"","_")&amp;(_xlfn.TEXTJOIN("_",TRUE,IF(G360 &lt;&gt; "PAS",G360:H360,""))&amp;(IF(Table1[[#This Row],[Sub-Area]]&lt;&gt;"",_xlfn.CONCAT("_",Table1[[#This Row],[Sub-Area]]),"")))</f>
        <v>LAR_CAR_SIS_SE_TRX_67SPLC0006</v>
      </c>
      <c r="L360" s="32" t="str">
        <f>IF(I360 &lt;&gt; "",I360&amp;":\PAS\CBR\ProcessedFiles\"&amp;Table1[[#This Row],[Units]]&amp;"\"&amp;Table1[[#This Row],[Asset Type]]&amp;"\"&amp;K360,"")</f>
        <v>D:\PAS\CBR\ProcessedFiles\CAR\SIS\LAR_CAR_SIS_SE_TRX_67SPLC0006</v>
      </c>
      <c r="M360" s="33" t="str">
        <f>"MKDIR "&amp;Table1[[#This Row],[Suggested Folder Naming]]</f>
        <v>MKDIR D:\PAS\CBR\ProcessedFiles\CAR\SIS\LAR_CAR_SIS_SE_TRX_67SPLC0006</v>
      </c>
    </row>
    <row r="361" spans="1:13" x14ac:dyDescent="0.25">
      <c r="A361" s="21"/>
      <c r="B361" s="7" t="s">
        <v>584</v>
      </c>
      <c r="C361" s="8" t="s">
        <v>477</v>
      </c>
      <c r="D361" s="19" t="s">
        <v>288</v>
      </c>
      <c r="E361" s="30" t="s">
        <v>230</v>
      </c>
      <c r="F361" s="31" t="s">
        <v>265</v>
      </c>
      <c r="G361" s="31" t="str">
        <f>_xlfn.IFNA(VLOOKUP(F361,'[2]Look Table'!B$1:E$64,3,FALSE),"")</f>
        <v>SE</v>
      </c>
      <c r="H361" s="31" t="str">
        <f>_xlfn.IFNA(VLOOKUP(F361,'[2]Look Table'!B$1:E$64,4,FALSE),"")</f>
        <v>TRX</v>
      </c>
      <c r="I361" s="41" t="s">
        <v>463</v>
      </c>
      <c r="J361" s="31" t="str">
        <f t="shared" si="5"/>
        <v>LAR_CAR</v>
      </c>
      <c r="K361" s="3" t="str">
        <f>J361&amp;"_"&amp;E361&amp;IF(ISNUMBER(SEARCH("PAS",G361)),"","_")&amp;(_xlfn.TEXTJOIN("_",TRUE,IF(G361 &lt;&gt; "PAS",G361:H361,""))&amp;(IF(Table1[[#This Row],[Sub-Area]]&lt;&gt;"",_xlfn.CONCAT("_",Table1[[#This Row],[Sub-Area]]),"")))</f>
        <v>LAR_CAR_SIS_SE_TRX_67SPLC0007</v>
      </c>
      <c r="L361" s="32" t="str">
        <f>IF(I361 &lt;&gt; "",I361&amp;":\PAS\CBR\ProcessedFiles\"&amp;Table1[[#This Row],[Units]]&amp;"\"&amp;Table1[[#This Row],[Asset Type]]&amp;"\"&amp;K361,"")</f>
        <v>D:\PAS\CBR\ProcessedFiles\CAR\SIS\LAR_CAR_SIS_SE_TRX_67SPLC0007</v>
      </c>
      <c r="M361" s="33" t="str">
        <f>"MKDIR "&amp;Table1[[#This Row],[Suggested Folder Naming]]</f>
        <v>MKDIR D:\PAS\CBR\ProcessedFiles\CAR\SIS\LAR_CAR_SIS_SE_TRX_67SPLC0007</v>
      </c>
    </row>
    <row r="362" spans="1:13" x14ac:dyDescent="0.25">
      <c r="A362" s="21"/>
      <c r="B362" s="7" t="s">
        <v>584</v>
      </c>
      <c r="C362" s="8" t="s">
        <v>477</v>
      </c>
      <c r="D362" s="19" t="s">
        <v>289</v>
      </c>
      <c r="E362" s="30" t="s">
        <v>230</v>
      </c>
      <c r="F362" s="31" t="s">
        <v>265</v>
      </c>
      <c r="G362" s="31" t="str">
        <f>_xlfn.IFNA(VLOOKUP(F362,'Look Table'!B$1:E$64,3,FALSE),"")</f>
        <v>SE</v>
      </c>
      <c r="H362" s="31" t="str">
        <f>_xlfn.IFNA(VLOOKUP(F362,'Look Table'!B$1:E$64,4,FALSE),"")</f>
        <v>TRX</v>
      </c>
      <c r="I362" s="41" t="s">
        <v>463</v>
      </c>
      <c r="J362" s="31" t="str">
        <f t="shared" si="5"/>
        <v>LAR_CAR</v>
      </c>
      <c r="K362" s="3" t="str">
        <f>J362&amp;"_"&amp;E362&amp;IF(ISNUMBER(SEARCH("PAS",G362)),"","_")&amp;(_xlfn.TEXTJOIN("_",TRUE,IF(G362 &lt;&gt; "PAS",G362:H362,""))&amp;(IF(Table1[[#This Row],[Sub-Area]]&lt;&gt;"",_xlfn.CONCAT("_",Table1[[#This Row],[Sub-Area]]),"")))</f>
        <v>LAR_CAR_SIS_SE_TRX_67SPLC0029</v>
      </c>
      <c r="L362" s="32" t="str">
        <f>IF(I362 &lt;&gt; "",I362&amp;":\PAS\CBR\ProcessedFiles\"&amp;Table1[[#This Row],[Units]]&amp;"\"&amp;Table1[[#This Row],[Asset Type]]&amp;"\"&amp;K362,"")</f>
        <v>D:\PAS\CBR\ProcessedFiles\CAR\SIS\LAR_CAR_SIS_SE_TRX_67SPLC0029</v>
      </c>
      <c r="M362" s="33" t="str">
        <f>"MKDIR "&amp;Table1[[#This Row],[Suggested Folder Naming]]</f>
        <v>MKDIR D:\PAS\CBR\ProcessedFiles\CAR\SIS\LAR_CAR_SIS_SE_TRX_67SPLC0029</v>
      </c>
    </row>
    <row r="363" spans="1:13" x14ac:dyDescent="0.25">
      <c r="A363" s="21"/>
      <c r="B363" s="7" t="s">
        <v>584</v>
      </c>
      <c r="C363" s="8" t="s">
        <v>477</v>
      </c>
      <c r="D363" s="19" t="s">
        <v>290</v>
      </c>
      <c r="E363" s="30" t="s">
        <v>230</v>
      </c>
      <c r="F363" s="31" t="s">
        <v>265</v>
      </c>
      <c r="G363" s="31" t="str">
        <f>_xlfn.IFNA(VLOOKUP(F363,'[2]Look Table'!B$1:E$64,3,FALSE),"")</f>
        <v>SE</v>
      </c>
      <c r="H363" s="31" t="str">
        <f>_xlfn.IFNA(VLOOKUP(F363,'[2]Look Table'!B$1:E$64,4,FALSE),"")</f>
        <v>TRX</v>
      </c>
      <c r="I363" s="41" t="s">
        <v>463</v>
      </c>
      <c r="J363" s="31" t="str">
        <f t="shared" si="5"/>
        <v>LAR_CAR</v>
      </c>
      <c r="K363" s="3" t="str">
        <f>J363&amp;"_"&amp;E363&amp;IF(ISNUMBER(SEARCH("PAS",G363)),"","_")&amp;(_xlfn.TEXTJOIN("_",TRUE,IF(G363 &lt;&gt; "PAS",G363:H363,""))&amp;(IF(Table1[[#This Row],[Sub-Area]]&lt;&gt;"",_xlfn.CONCAT("_",Table1[[#This Row],[Sub-Area]]),"")))</f>
        <v>LAR_CAR_SIS_SE_TRX_70SPLC0013</v>
      </c>
      <c r="L363" s="32" t="str">
        <f>IF(I363 &lt;&gt; "",I363&amp;":\PAS\CBR\ProcessedFiles\"&amp;Table1[[#This Row],[Units]]&amp;"\"&amp;Table1[[#This Row],[Asset Type]]&amp;"\"&amp;K363,"")</f>
        <v>D:\PAS\CBR\ProcessedFiles\CAR\SIS\LAR_CAR_SIS_SE_TRX_70SPLC0013</v>
      </c>
      <c r="M363" s="33" t="str">
        <f>"MKDIR "&amp;Table1[[#This Row],[Suggested Folder Naming]]</f>
        <v>MKDIR D:\PAS\CBR\ProcessedFiles\CAR\SIS\LAR_CAR_SIS_SE_TRX_70SPLC0013</v>
      </c>
    </row>
    <row r="364" spans="1:13" x14ac:dyDescent="0.25">
      <c r="A364" s="21"/>
      <c r="B364" s="7" t="s">
        <v>584</v>
      </c>
      <c r="C364" s="8" t="s">
        <v>477</v>
      </c>
      <c r="D364" s="19" t="s">
        <v>291</v>
      </c>
      <c r="E364" s="30" t="s">
        <v>230</v>
      </c>
      <c r="F364" s="31" t="s">
        <v>265</v>
      </c>
      <c r="G364" s="31" t="str">
        <f>_xlfn.IFNA(VLOOKUP(F364,'[2]Look Table'!B$1:E$64,3,FALSE),"")</f>
        <v>SE</v>
      </c>
      <c r="H364" s="31" t="str">
        <f>_xlfn.IFNA(VLOOKUP(F364,'[2]Look Table'!B$1:E$64,4,FALSE),"")</f>
        <v>TRX</v>
      </c>
      <c r="I364" s="41" t="s">
        <v>463</v>
      </c>
      <c r="J364" s="31" t="str">
        <f t="shared" si="5"/>
        <v>LAR_CAR</v>
      </c>
      <c r="K364" s="3" t="str">
        <f>J364&amp;"_"&amp;E364&amp;IF(ISNUMBER(SEARCH("PAS",G364)),"","_")&amp;(_xlfn.TEXTJOIN("_",TRUE,IF(G364 &lt;&gt; "PAS",G364:H364,""))&amp;(IF(Table1[[#This Row],[Sub-Area]]&lt;&gt;"",_xlfn.CONCAT("_",Table1[[#This Row],[Sub-Area]]),"")))</f>
        <v>LAR_CAR_SIS_SE_TRX_80SPLC0005</v>
      </c>
      <c r="L364" s="32" t="str">
        <f>IF(I364 &lt;&gt; "",I364&amp;":\PAS\CBR\ProcessedFiles\"&amp;Table1[[#This Row],[Units]]&amp;"\"&amp;Table1[[#This Row],[Asset Type]]&amp;"\"&amp;K364,"")</f>
        <v>D:\PAS\CBR\ProcessedFiles\CAR\SIS\LAR_CAR_SIS_SE_TRX_80SPLC0005</v>
      </c>
      <c r="M364" s="33" t="str">
        <f>"MKDIR "&amp;Table1[[#This Row],[Suggested Folder Naming]]</f>
        <v>MKDIR D:\PAS\CBR\ProcessedFiles\CAR\SIS\LAR_CAR_SIS_SE_TRX_80SPLC0005</v>
      </c>
    </row>
    <row r="365" spans="1:13" x14ac:dyDescent="0.25">
      <c r="A365" s="21"/>
      <c r="B365" s="7" t="s">
        <v>584</v>
      </c>
      <c r="C365" s="8" t="s">
        <v>477</v>
      </c>
      <c r="D365" s="19" t="s">
        <v>292</v>
      </c>
      <c r="E365" s="30" t="s">
        <v>230</v>
      </c>
      <c r="F365" s="31" t="s">
        <v>265</v>
      </c>
      <c r="G365" s="31" t="str">
        <f>_xlfn.IFNA(VLOOKUP(F365,'[2]Look Table'!B$1:E$64,3,FALSE),"")</f>
        <v>SE</v>
      </c>
      <c r="H365" s="31" t="str">
        <f>_xlfn.IFNA(VLOOKUP(F365,'[2]Look Table'!B$1:E$64,4,FALSE),"")</f>
        <v>TRX</v>
      </c>
      <c r="I365" s="41" t="s">
        <v>463</v>
      </c>
      <c r="J365" s="31" t="str">
        <f t="shared" si="5"/>
        <v>LAR_CAR</v>
      </c>
      <c r="K365" s="3" t="str">
        <f>J365&amp;"_"&amp;E365&amp;IF(ISNUMBER(SEARCH("PAS",G365)),"","_")&amp;(_xlfn.TEXTJOIN("_",TRUE,IF(G365 &lt;&gt; "PAS",G365:H365,""))&amp;(IF(Table1[[#This Row],[Sub-Area]]&lt;&gt;"",_xlfn.CONCAT("_",Table1[[#This Row],[Sub-Area]]),"")))</f>
        <v>LAR_CAR_SIS_SE_TRX_80SPLC0014</v>
      </c>
      <c r="L365" s="32" t="str">
        <f>IF(I365 &lt;&gt; "",I365&amp;":\PAS\CBR\ProcessedFiles\"&amp;Table1[[#This Row],[Units]]&amp;"\"&amp;Table1[[#This Row],[Asset Type]]&amp;"\"&amp;K365,"")</f>
        <v>D:\PAS\CBR\ProcessedFiles\CAR\SIS\LAR_CAR_SIS_SE_TRX_80SPLC0014</v>
      </c>
      <c r="M365" s="33" t="str">
        <f>"MKDIR "&amp;Table1[[#This Row],[Suggested Folder Naming]]</f>
        <v>MKDIR D:\PAS\CBR\ProcessedFiles\CAR\SIS\LAR_CAR_SIS_SE_TRX_80SPLC0014</v>
      </c>
    </row>
    <row r="366" spans="1:13" x14ac:dyDescent="0.25">
      <c r="A366" s="21"/>
      <c r="B366" s="7" t="s">
        <v>584</v>
      </c>
      <c r="C366" s="8" t="s">
        <v>477</v>
      </c>
      <c r="D366" s="19" t="s">
        <v>293</v>
      </c>
      <c r="E366" s="30" t="s">
        <v>230</v>
      </c>
      <c r="F366" s="31" t="s">
        <v>265</v>
      </c>
      <c r="G366" s="31" t="str">
        <f>_xlfn.IFNA(VLOOKUP(F366,'[2]Look Table'!B$1:E$64,3,FALSE),"")</f>
        <v>SE</v>
      </c>
      <c r="H366" s="31" t="str">
        <f>_xlfn.IFNA(VLOOKUP(F366,'[2]Look Table'!B$1:E$64,4,FALSE),"")</f>
        <v>TRX</v>
      </c>
      <c r="I366" s="41" t="s">
        <v>463</v>
      </c>
      <c r="J366" s="31" t="str">
        <f t="shared" si="5"/>
        <v>LAR_CAR</v>
      </c>
      <c r="K366" s="3" t="str">
        <f>J366&amp;"_"&amp;E366&amp;IF(ISNUMBER(SEARCH("PAS",G366)),"","_")&amp;(_xlfn.TEXTJOIN("_",TRUE,IF(G366 &lt;&gt; "PAS",G366:H366,""))&amp;(IF(Table1[[#This Row],[Sub-Area]]&lt;&gt;"",_xlfn.CONCAT("_",Table1[[#This Row],[Sub-Area]]),"")))</f>
        <v>LAR_CAR_SIS_SE_TRX_81SPLC0005</v>
      </c>
      <c r="L366" s="32" t="str">
        <f>IF(I366 &lt;&gt; "",I366&amp;":\PAS\CBR\ProcessedFiles\"&amp;Table1[[#This Row],[Units]]&amp;"\"&amp;Table1[[#This Row],[Asset Type]]&amp;"\"&amp;K366,"")</f>
        <v>D:\PAS\CBR\ProcessedFiles\CAR\SIS\LAR_CAR_SIS_SE_TRX_81SPLC0005</v>
      </c>
      <c r="M366" s="33" t="str">
        <f>"MKDIR "&amp;Table1[[#This Row],[Suggested Folder Naming]]</f>
        <v>MKDIR D:\PAS\CBR\ProcessedFiles\CAR\SIS\LAR_CAR_SIS_SE_TRX_81SPLC0005</v>
      </c>
    </row>
    <row r="367" spans="1:13" x14ac:dyDescent="0.25">
      <c r="A367" s="21"/>
      <c r="B367" s="7" t="s">
        <v>584</v>
      </c>
      <c r="C367" s="8" t="s">
        <v>477</v>
      </c>
      <c r="D367" s="19" t="s">
        <v>294</v>
      </c>
      <c r="E367" s="30" t="s">
        <v>230</v>
      </c>
      <c r="F367" s="31" t="s">
        <v>265</v>
      </c>
      <c r="G367" s="31" t="str">
        <f>_xlfn.IFNA(VLOOKUP(F367,'[2]Look Table'!B$1:E$64,3,FALSE),"")</f>
        <v>SE</v>
      </c>
      <c r="H367" s="31" t="str">
        <f>_xlfn.IFNA(VLOOKUP(F367,'[2]Look Table'!B$1:E$64,4,FALSE),"")</f>
        <v>TRX</v>
      </c>
      <c r="I367" s="41" t="s">
        <v>463</v>
      </c>
      <c r="J367" s="31" t="str">
        <f t="shared" si="5"/>
        <v>LAR_CAR</v>
      </c>
      <c r="K367" s="3" t="str">
        <f>J367&amp;"_"&amp;E367&amp;IF(ISNUMBER(SEARCH("PAS",G367)),"","_")&amp;(_xlfn.TEXTJOIN("_",TRUE,IF(G367 &lt;&gt; "PAS",G367:H367,""))&amp;(IF(Table1[[#This Row],[Sub-Area]]&lt;&gt;"",_xlfn.CONCAT("_",Table1[[#This Row],[Sub-Area]]),"")))</f>
        <v>LAR_CAR_SIS_SE_TRX_81SPLC0019</v>
      </c>
      <c r="L367" s="32" t="str">
        <f>IF(I367 &lt;&gt; "",I367&amp;":\PAS\CBR\ProcessedFiles\"&amp;Table1[[#This Row],[Units]]&amp;"\"&amp;Table1[[#This Row],[Asset Type]]&amp;"\"&amp;K367,"")</f>
        <v>D:\PAS\CBR\ProcessedFiles\CAR\SIS\LAR_CAR_SIS_SE_TRX_81SPLC0019</v>
      </c>
      <c r="M367" s="33" t="str">
        <f>"MKDIR "&amp;Table1[[#This Row],[Suggested Folder Naming]]</f>
        <v>MKDIR D:\PAS\CBR\ProcessedFiles\CAR\SIS\LAR_CAR_SIS_SE_TRX_81SPLC0019</v>
      </c>
    </row>
    <row r="368" spans="1:13" x14ac:dyDescent="0.25">
      <c r="A368" s="21"/>
      <c r="B368" s="7" t="s">
        <v>584</v>
      </c>
      <c r="C368" s="8" t="s">
        <v>480</v>
      </c>
      <c r="D368" s="19" t="s">
        <v>295</v>
      </c>
      <c r="E368" s="30" t="s">
        <v>230</v>
      </c>
      <c r="F368" s="31" t="s">
        <v>265</v>
      </c>
      <c r="G368" s="31" t="str">
        <f>_xlfn.IFNA(VLOOKUP(F368,'[2]Look Table'!B$1:E$64,3,FALSE),"")</f>
        <v>SE</v>
      </c>
      <c r="H368" s="31" t="str">
        <f>_xlfn.IFNA(VLOOKUP(F368,'[2]Look Table'!B$1:E$64,4,FALSE),"")</f>
        <v>TRX</v>
      </c>
      <c r="I368" s="41" t="s">
        <v>463</v>
      </c>
      <c r="J368" s="31" t="str">
        <f t="shared" si="5"/>
        <v>LAR_WCC</v>
      </c>
      <c r="K368" s="3" t="str">
        <f>J368&amp;"_"&amp;E368&amp;IF(ISNUMBER(SEARCH("PAS",G368)),"","_")&amp;(_xlfn.TEXTJOIN("_",TRUE,IF(G368 &lt;&gt; "PAS",G368:H368,""))&amp;(IF(Table1[[#This Row],[Sub-Area]]&lt;&gt;"",_xlfn.CONCAT("_",Table1[[#This Row],[Sub-Area]]),"")))</f>
        <v>LAR_WCC_SIS_SE_TRX_NGC</v>
      </c>
      <c r="L368" s="32" t="str">
        <f>IF(I368 &lt;&gt; "",I368&amp;":\PAS\CBR\ProcessedFiles\"&amp;Table1[[#This Row],[Units]]&amp;"\"&amp;Table1[[#This Row],[Asset Type]]&amp;"\"&amp;K368,"")</f>
        <v>D:\PAS\CBR\ProcessedFiles\WCC\SIS\LAR_WCC_SIS_SE_TRX_NGC</v>
      </c>
      <c r="M368" s="33" t="str">
        <f>"MKDIR "&amp;Table1[[#This Row],[Suggested Folder Naming]]</f>
        <v>MKDIR D:\PAS\CBR\ProcessedFiles\WCC\SIS\LAR_WCC_SIS_SE_TRX_NGC</v>
      </c>
    </row>
    <row r="369" spans="1:13" x14ac:dyDescent="0.25">
      <c r="A369" s="21"/>
      <c r="B369" s="7" t="s">
        <v>584</v>
      </c>
      <c r="C369" s="8" t="s">
        <v>480</v>
      </c>
      <c r="D369" s="19" t="s">
        <v>194</v>
      </c>
      <c r="E369" s="30" t="s">
        <v>230</v>
      </c>
      <c r="F369" s="31" t="s">
        <v>265</v>
      </c>
      <c r="G369" s="31" t="str">
        <f>_xlfn.IFNA(VLOOKUP(F369,'[2]Look Table'!B$1:E$64,3,FALSE),"")</f>
        <v>SE</v>
      </c>
      <c r="H369" s="31" t="str">
        <f>_xlfn.IFNA(VLOOKUP(F369,'[2]Look Table'!B$1:E$64,4,FALSE),"")</f>
        <v>TRX</v>
      </c>
      <c r="I369" s="41" t="s">
        <v>463</v>
      </c>
      <c r="J369" s="31" t="str">
        <f t="shared" si="5"/>
        <v>LAR_WCC</v>
      </c>
      <c r="K369" s="3" t="str">
        <f>J369&amp;"_"&amp;E369&amp;IF(ISNUMBER(SEARCH("PAS",G369)),"","_")&amp;(_xlfn.TEXTJOIN("_",TRUE,IF(G369 &lt;&gt; "PAS",G369:H369,""))&amp;(IF(Table1[[#This Row],[Sub-Area]]&lt;&gt;"",_xlfn.CONCAT("_",Table1[[#This Row],[Sub-Area]]),"")))</f>
        <v>LAR_WCC_SIS_SE_TRX_STG1</v>
      </c>
      <c r="L369" s="32" t="str">
        <f>IF(I369 &lt;&gt; "",I369&amp;":\PAS\CBR\ProcessedFiles\"&amp;Table1[[#This Row],[Units]]&amp;"\"&amp;Table1[[#This Row],[Asset Type]]&amp;"\"&amp;K369,"")</f>
        <v>D:\PAS\CBR\ProcessedFiles\WCC\SIS\LAR_WCC_SIS_SE_TRX_STG1</v>
      </c>
      <c r="M369" s="33" t="str">
        <f>"MKDIR "&amp;Table1[[#This Row],[Suggested Folder Naming]]</f>
        <v>MKDIR D:\PAS\CBR\ProcessedFiles\WCC\SIS\LAR_WCC_SIS_SE_TRX_STG1</v>
      </c>
    </row>
    <row r="370" spans="1:13" x14ac:dyDescent="0.25">
      <c r="A370" s="21"/>
      <c r="B370" s="7" t="s">
        <v>584</v>
      </c>
      <c r="C370" s="8" t="s">
        <v>480</v>
      </c>
      <c r="D370" s="19" t="s">
        <v>195</v>
      </c>
      <c r="E370" s="30" t="s">
        <v>230</v>
      </c>
      <c r="F370" s="31" t="s">
        <v>265</v>
      </c>
      <c r="G370" s="31" t="str">
        <f>_xlfn.IFNA(VLOOKUP(F370,'[2]Look Table'!B$1:E$64,3,FALSE),"")</f>
        <v>SE</v>
      </c>
      <c r="H370" s="31" t="str">
        <f>_xlfn.IFNA(VLOOKUP(F370,'[2]Look Table'!B$1:E$64,4,FALSE),"")</f>
        <v>TRX</v>
      </c>
      <c r="I370" s="41" t="s">
        <v>463</v>
      </c>
      <c r="J370" s="31" t="str">
        <f t="shared" si="5"/>
        <v>LAR_WCC</v>
      </c>
      <c r="K370" s="3" t="str">
        <f>J370&amp;"_"&amp;E370&amp;IF(ISNUMBER(SEARCH("PAS",G370)),"","_")&amp;(_xlfn.TEXTJOIN("_",TRUE,IF(G370 &lt;&gt; "PAS",G370:H370,""))&amp;(IF(Table1[[#This Row],[Sub-Area]]&lt;&gt;"",_xlfn.CONCAT("_",Table1[[#This Row],[Sub-Area]]),"")))</f>
        <v>LAR_WCC_SIS_SE_TRX_STG2</v>
      </c>
      <c r="L370" s="32" t="str">
        <f>IF(I370 &lt;&gt; "",I370&amp;":\PAS\CBR\ProcessedFiles\"&amp;Table1[[#This Row],[Units]]&amp;"\"&amp;Table1[[#This Row],[Asset Type]]&amp;"\"&amp;K370,"")</f>
        <v>D:\PAS\CBR\ProcessedFiles\WCC\SIS\LAR_WCC_SIS_SE_TRX_STG2</v>
      </c>
      <c r="M370" s="33" t="str">
        <f>"MKDIR "&amp;Table1[[#This Row],[Suggested Folder Naming]]</f>
        <v>MKDIR D:\PAS\CBR\ProcessedFiles\WCC\SIS\LAR_WCC_SIS_SE_TRX_STG2</v>
      </c>
    </row>
    <row r="371" spans="1:13" x14ac:dyDescent="0.25">
      <c r="A371" s="21"/>
      <c r="B371" s="7" t="s">
        <v>584</v>
      </c>
      <c r="C371" s="8" t="s">
        <v>475</v>
      </c>
      <c r="D371" s="19" t="s">
        <v>296</v>
      </c>
      <c r="E371" s="30" t="s">
        <v>230</v>
      </c>
      <c r="F371" s="31" t="s">
        <v>265</v>
      </c>
      <c r="G371" s="31" t="str">
        <f>_xlfn.IFNA(VLOOKUP(F371,'Look Table'!B$1:E$64,3,FALSE),"")</f>
        <v>SE</v>
      </c>
      <c r="H371" s="31" t="str">
        <f>_xlfn.IFNA(VLOOKUP(F371,'Look Table'!B$1:E$64,4,FALSE),"")</f>
        <v>TRX</v>
      </c>
      <c r="I371" s="41" t="s">
        <v>463</v>
      </c>
      <c r="J371" s="31" t="str">
        <f t="shared" si="5"/>
        <v>LAR_WIL</v>
      </c>
      <c r="K371" s="3" t="str">
        <f>J371&amp;"_"&amp;E371&amp;IF(ISNUMBER(SEARCH("PAS",G371)),"","_")&amp;(_xlfn.TEXTJOIN("_",TRUE,IF(G371 &lt;&gt; "PAS",G371:H371,""))&amp;(IF(Table1[[#This Row],[Sub-Area]]&lt;&gt;"",_xlfn.CONCAT("_",Table1[[#This Row],[Sub-Area]]),"")))</f>
        <v>LAR_WIL_SIS_SE_TRX_03_IPS_02</v>
      </c>
      <c r="L371" s="32" t="str">
        <f>IF(I371 &lt;&gt; "",I371&amp;":\PAS\CBR\ProcessedFiles\"&amp;Table1[[#This Row],[Units]]&amp;"\"&amp;Table1[[#This Row],[Asset Type]]&amp;"\"&amp;K371,"")</f>
        <v>D:\PAS\CBR\ProcessedFiles\WIL\SIS\LAR_WIL_SIS_SE_TRX_03_IPS_02</v>
      </c>
      <c r="M371" s="33" t="str">
        <f>"MKDIR "&amp;Table1[[#This Row],[Suggested Folder Naming]]</f>
        <v>MKDIR D:\PAS\CBR\ProcessedFiles\WIL\SIS\LAR_WIL_SIS_SE_TRX_03_IPS_02</v>
      </c>
    </row>
    <row r="372" spans="1:13" x14ac:dyDescent="0.25">
      <c r="A372" s="21"/>
      <c r="B372" s="7" t="s">
        <v>584</v>
      </c>
      <c r="C372" s="8" t="s">
        <v>475</v>
      </c>
      <c r="D372" s="19" t="s">
        <v>297</v>
      </c>
      <c r="E372" s="30" t="s">
        <v>230</v>
      </c>
      <c r="F372" s="31" t="s">
        <v>265</v>
      </c>
      <c r="G372" s="31" t="str">
        <f>_xlfn.IFNA(VLOOKUP(F372,'Look Table'!B$1:E$64,3,FALSE),"")</f>
        <v>SE</v>
      </c>
      <c r="H372" s="31" t="str">
        <f>_xlfn.IFNA(VLOOKUP(F372,'Look Table'!B$1:E$64,4,FALSE),"")</f>
        <v>TRX</v>
      </c>
      <c r="I372" s="41" t="s">
        <v>463</v>
      </c>
      <c r="J372" s="31" t="str">
        <f t="shared" si="5"/>
        <v>LAR_WIL</v>
      </c>
      <c r="K372" s="3" t="str">
        <f>J372&amp;"_"&amp;E372&amp;IF(ISNUMBER(SEARCH("PAS",G372)),"","_")&amp;(_xlfn.TEXTJOIN("_",TRUE,IF(G372 &lt;&gt; "PAS",G372:H372,""))&amp;(IF(Table1[[#This Row],[Sub-Area]]&lt;&gt;"",_xlfn.CONCAT("_",Table1[[#This Row],[Sub-Area]]),"")))</f>
        <v>LAR_WIL_SIS_SE_TRX_03_IPS_03</v>
      </c>
      <c r="L372" s="32" t="str">
        <f>IF(I372 &lt;&gt; "",I372&amp;":\PAS\CBR\ProcessedFiles\"&amp;Table1[[#This Row],[Units]]&amp;"\"&amp;Table1[[#This Row],[Asset Type]]&amp;"\"&amp;K372,"")</f>
        <v>D:\PAS\CBR\ProcessedFiles\WIL\SIS\LAR_WIL_SIS_SE_TRX_03_IPS_03</v>
      </c>
      <c r="M372" s="33" t="str">
        <f>"MKDIR "&amp;Table1[[#This Row],[Suggested Folder Naming]]</f>
        <v>MKDIR D:\PAS\CBR\ProcessedFiles\WIL\SIS\LAR_WIL_SIS_SE_TRX_03_IPS_03</v>
      </c>
    </row>
    <row r="373" spans="1:13" x14ac:dyDescent="0.25">
      <c r="A373" s="21"/>
      <c r="B373" s="7" t="s">
        <v>584</v>
      </c>
      <c r="C373" s="8" t="s">
        <v>475</v>
      </c>
      <c r="D373" s="19" t="s">
        <v>298</v>
      </c>
      <c r="E373" s="30" t="s">
        <v>230</v>
      </c>
      <c r="F373" s="31" t="s">
        <v>265</v>
      </c>
      <c r="G373" s="31" t="str">
        <f>_xlfn.IFNA(VLOOKUP(F373,'Look Table'!B$1:E$64,3,FALSE),"")</f>
        <v>SE</v>
      </c>
      <c r="H373" s="31" t="str">
        <f>_xlfn.IFNA(VLOOKUP(F373,'Look Table'!B$1:E$64,4,FALSE),"")</f>
        <v>TRX</v>
      </c>
      <c r="I373" s="41" t="s">
        <v>463</v>
      </c>
      <c r="J373" s="31" t="str">
        <f t="shared" si="5"/>
        <v>LAR_WIL</v>
      </c>
      <c r="K373" s="3" t="str">
        <f>J373&amp;"_"&amp;E373&amp;IF(ISNUMBER(SEARCH("PAS",G373)),"","_")&amp;(_xlfn.TEXTJOIN("_",TRUE,IF(G373 &lt;&gt; "PAS",G373:H373,""))&amp;(IF(Table1[[#This Row],[Sub-Area]]&lt;&gt;"",_xlfn.CONCAT("_",Table1[[#This Row],[Sub-Area]]),"")))</f>
        <v>LAR_WIL_SIS_SE_TRX_03_IPS_04</v>
      </c>
      <c r="L373" s="32" t="str">
        <f>IF(I373 &lt;&gt; "",I373&amp;":\PAS\CBR\ProcessedFiles\"&amp;Table1[[#This Row],[Units]]&amp;"\"&amp;Table1[[#This Row],[Asset Type]]&amp;"\"&amp;K373,"")</f>
        <v>D:\PAS\CBR\ProcessedFiles\WIL\SIS\LAR_WIL_SIS_SE_TRX_03_IPS_04</v>
      </c>
      <c r="M373" s="33" t="str">
        <f>"MKDIR "&amp;Table1[[#This Row],[Suggested Folder Naming]]</f>
        <v>MKDIR D:\PAS\CBR\ProcessedFiles\WIL\SIS\LAR_WIL_SIS_SE_TRX_03_IPS_04</v>
      </c>
    </row>
    <row r="374" spans="1:13" x14ac:dyDescent="0.25">
      <c r="A374" s="21"/>
      <c r="B374" s="7" t="s">
        <v>584</v>
      </c>
      <c r="C374" s="8" t="s">
        <v>475</v>
      </c>
      <c r="D374" s="19" t="s">
        <v>299</v>
      </c>
      <c r="E374" s="30" t="s">
        <v>230</v>
      </c>
      <c r="F374" s="31" t="s">
        <v>265</v>
      </c>
      <c r="G374" s="31" t="str">
        <f>_xlfn.IFNA(VLOOKUP(F374,'Look Table'!B$1:E$64,3,FALSE),"")</f>
        <v>SE</v>
      </c>
      <c r="H374" s="31" t="str">
        <f>_xlfn.IFNA(VLOOKUP(F374,'Look Table'!B$1:E$64,4,FALSE),"")</f>
        <v>TRX</v>
      </c>
      <c r="I374" s="41" t="s">
        <v>463</v>
      </c>
      <c r="J374" s="31" t="str">
        <f t="shared" si="5"/>
        <v>LAR_WIL</v>
      </c>
      <c r="K374" s="3" t="str">
        <f>J374&amp;"_"&amp;E374&amp;IF(ISNUMBER(SEARCH("PAS",G374)),"","_")&amp;(_xlfn.TEXTJOIN("_",TRUE,IF(G374 &lt;&gt; "PAS",G374:H374,""))&amp;(IF(Table1[[#This Row],[Sub-Area]]&lt;&gt;"",_xlfn.CONCAT("_",Table1[[#This Row],[Sub-Area]]),"")))</f>
        <v>LAR_WIL_SIS_SE_TRX_03_IPS_05</v>
      </c>
      <c r="L374" s="32" t="str">
        <f>IF(I374 &lt;&gt; "",I374&amp;":\PAS\CBR\ProcessedFiles\"&amp;Table1[[#This Row],[Units]]&amp;"\"&amp;Table1[[#This Row],[Asset Type]]&amp;"\"&amp;K374,"")</f>
        <v>D:\PAS\CBR\ProcessedFiles\WIL\SIS\LAR_WIL_SIS_SE_TRX_03_IPS_05</v>
      </c>
      <c r="M374" s="33" t="str">
        <f>"MKDIR "&amp;Table1[[#This Row],[Suggested Folder Naming]]</f>
        <v>MKDIR D:\PAS\CBR\ProcessedFiles\WIL\SIS\LAR_WIL_SIS_SE_TRX_03_IPS_05</v>
      </c>
    </row>
    <row r="375" spans="1:13" x14ac:dyDescent="0.25">
      <c r="A375" s="21"/>
      <c r="B375" s="7" t="s">
        <v>584</v>
      </c>
      <c r="C375" s="8" t="s">
        <v>475</v>
      </c>
      <c r="D375" s="19" t="s">
        <v>300</v>
      </c>
      <c r="E375" s="30" t="s">
        <v>230</v>
      </c>
      <c r="F375" s="31" t="s">
        <v>265</v>
      </c>
      <c r="G375" s="31" t="str">
        <f>_xlfn.IFNA(VLOOKUP(F375,'Look Table'!B$1:E$64,3,FALSE),"")</f>
        <v>SE</v>
      </c>
      <c r="H375" s="31" t="str">
        <f>_xlfn.IFNA(VLOOKUP(F375,'Look Table'!B$1:E$64,4,FALSE),"")</f>
        <v>TRX</v>
      </c>
      <c r="I375" s="41" t="s">
        <v>463</v>
      </c>
      <c r="J375" s="31" t="str">
        <f t="shared" si="5"/>
        <v>LAR_WIL</v>
      </c>
      <c r="K375" s="3" t="str">
        <f>J375&amp;"_"&amp;E375&amp;IF(ISNUMBER(SEARCH("PAS",G375)),"","_")&amp;(_xlfn.TEXTJOIN("_",TRUE,IF(G375 &lt;&gt; "PAS",G375:H375,""))&amp;(IF(Table1[[#This Row],[Sub-Area]]&lt;&gt;"",_xlfn.CONCAT("_",Table1[[#This Row],[Sub-Area]]),"")))</f>
        <v>LAR_WIL_SIS_SE_TRX_03_IPS_06</v>
      </c>
      <c r="L375" s="32" t="str">
        <f>IF(I375 &lt;&gt; "",I375&amp;":\PAS\CBR\ProcessedFiles\"&amp;Table1[[#This Row],[Units]]&amp;"\"&amp;Table1[[#This Row],[Asset Type]]&amp;"\"&amp;K375,"")</f>
        <v>D:\PAS\CBR\ProcessedFiles\WIL\SIS\LAR_WIL_SIS_SE_TRX_03_IPS_06</v>
      </c>
      <c r="M375" s="33" t="str">
        <f>"MKDIR "&amp;Table1[[#This Row],[Suggested Folder Naming]]</f>
        <v>MKDIR D:\PAS\CBR\ProcessedFiles\WIL\SIS\LAR_WIL_SIS_SE_TRX_03_IPS_06</v>
      </c>
    </row>
    <row r="376" spans="1:13" x14ac:dyDescent="0.25">
      <c r="A376" s="21"/>
      <c r="B376" s="7" t="s">
        <v>584</v>
      </c>
      <c r="C376" s="8" t="s">
        <v>475</v>
      </c>
      <c r="D376" s="19" t="s">
        <v>301</v>
      </c>
      <c r="E376" s="30" t="s">
        <v>230</v>
      </c>
      <c r="F376" s="31" t="s">
        <v>265</v>
      </c>
      <c r="G376" s="31" t="str">
        <f>_xlfn.IFNA(VLOOKUP(F376,'[2]Look Table'!B$1:E$64,3,FALSE),"")</f>
        <v>SE</v>
      </c>
      <c r="H376" s="31" t="str">
        <f>_xlfn.IFNA(VLOOKUP(F376,'[2]Look Table'!B$1:E$64,4,FALSE),"")</f>
        <v>TRX</v>
      </c>
      <c r="I376" s="41" t="s">
        <v>463</v>
      </c>
      <c r="J376" s="31" t="str">
        <f t="shared" si="5"/>
        <v>LAR_WIL</v>
      </c>
      <c r="K376" s="3" t="str">
        <f>J376&amp;"_"&amp;E376&amp;IF(ISNUMBER(SEARCH("PAS",G376)),"","_")&amp;(_xlfn.TEXTJOIN("_",TRUE,IF(G376 &lt;&gt; "PAS",G376:H376,""))&amp;(IF(Table1[[#This Row],[Sub-Area]]&lt;&gt;"",_xlfn.CONCAT("_",Table1[[#This Row],[Sub-Area]]),"")))</f>
        <v>LAR_WIL_SIS_SE_TRX_07_300_750</v>
      </c>
      <c r="L376" s="32" t="str">
        <f>IF(I376 &lt;&gt; "",I376&amp;":\PAS\CBR\ProcessedFiles\"&amp;Table1[[#This Row],[Units]]&amp;"\"&amp;Table1[[#This Row],[Asset Type]]&amp;"\"&amp;K376,"")</f>
        <v>D:\PAS\CBR\ProcessedFiles\WIL\SIS\LAR_WIL_SIS_SE_TRX_07_300_750</v>
      </c>
      <c r="M376" s="33" t="str">
        <f>"MKDIR "&amp;Table1[[#This Row],[Suggested Folder Naming]]</f>
        <v>MKDIR D:\PAS\CBR\ProcessedFiles\WIL\SIS\LAR_WIL_SIS_SE_TRX_07_300_750</v>
      </c>
    </row>
    <row r="377" spans="1:13" x14ac:dyDescent="0.25">
      <c r="A377" s="21"/>
      <c r="B377" s="7" t="s">
        <v>584</v>
      </c>
      <c r="C377" s="8" t="s">
        <v>475</v>
      </c>
      <c r="D377" s="19" t="s">
        <v>302</v>
      </c>
      <c r="E377" s="30" t="s">
        <v>230</v>
      </c>
      <c r="F377" s="31" t="s">
        <v>265</v>
      </c>
      <c r="G377" s="31" t="str">
        <f>_xlfn.IFNA(VLOOKUP(F377,'[2]Look Table'!B$1:E$64,3,FALSE),"")</f>
        <v>SE</v>
      </c>
      <c r="H377" s="31" t="str">
        <f>_xlfn.IFNA(VLOOKUP(F377,'[2]Look Table'!B$1:E$64,4,FALSE),"")</f>
        <v>TRX</v>
      </c>
      <c r="I377" s="41" t="s">
        <v>463</v>
      </c>
      <c r="J377" s="31" t="str">
        <f t="shared" si="5"/>
        <v>LAR_WIL</v>
      </c>
      <c r="K377" s="3" t="str">
        <f>J377&amp;"_"&amp;E377&amp;IF(ISNUMBER(SEARCH("PAS",G377)),"","_")&amp;(_xlfn.TEXTJOIN("_",TRUE,IF(G377 &lt;&gt; "PAS",G377:H377,""))&amp;(IF(Table1[[#This Row],[Sub-Area]]&lt;&gt;"",_xlfn.CONCAT("_",Table1[[#This Row],[Sub-Area]]),"")))</f>
        <v>LAR_WIL_SIS_SE_TRX_07_600_700</v>
      </c>
      <c r="L377" s="32" t="str">
        <f>IF(I377 &lt;&gt; "",I377&amp;":\PAS\CBR\ProcessedFiles\"&amp;Table1[[#This Row],[Units]]&amp;"\"&amp;Table1[[#This Row],[Asset Type]]&amp;"\"&amp;K377,"")</f>
        <v>D:\PAS\CBR\ProcessedFiles\WIL\SIS\LAR_WIL_SIS_SE_TRX_07_600_700</v>
      </c>
      <c r="M377" s="33" t="str">
        <f>"MKDIR "&amp;Table1[[#This Row],[Suggested Folder Naming]]</f>
        <v>MKDIR D:\PAS\CBR\ProcessedFiles\WIL\SIS\LAR_WIL_SIS_SE_TRX_07_600_700</v>
      </c>
    </row>
    <row r="378" spans="1:13" x14ac:dyDescent="0.25">
      <c r="A378" s="21"/>
      <c r="B378" s="7" t="s">
        <v>584</v>
      </c>
      <c r="C378" s="8" t="s">
        <v>475</v>
      </c>
      <c r="D378" s="19" t="s">
        <v>303</v>
      </c>
      <c r="E378" s="30" t="s">
        <v>230</v>
      </c>
      <c r="F378" s="31" t="s">
        <v>265</v>
      </c>
      <c r="G378" s="31" t="str">
        <f>_xlfn.IFNA(VLOOKUP(F378,'Look Table'!B$1:E$64,3,FALSE),"")</f>
        <v>SE</v>
      </c>
      <c r="H378" s="31" t="str">
        <f>_xlfn.IFNA(VLOOKUP(F378,'Look Table'!B$1:E$64,4,FALSE),"")</f>
        <v>TRX</v>
      </c>
      <c r="I378" s="41" t="s">
        <v>463</v>
      </c>
      <c r="J378" s="31" t="str">
        <f t="shared" si="5"/>
        <v>LAR_WIL</v>
      </c>
      <c r="K378" s="3" t="str">
        <f>J378&amp;"_"&amp;E378&amp;IF(ISNUMBER(SEARCH("PAS",G378)),"","_")&amp;(_xlfn.TEXTJOIN("_",TRUE,IF(G378 &lt;&gt; "PAS",G378:H378,""))&amp;(IF(Table1[[#This Row],[Sub-Area]]&lt;&gt;"",_xlfn.CONCAT("_",Table1[[#This Row],[Sub-Area]]),"")))</f>
        <v>LAR_WIL_SIS_SE_TRX_11_13_26_41_SIS_01</v>
      </c>
      <c r="L378" s="32" t="str">
        <f>IF(I378 &lt;&gt; "",I378&amp;":\PAS\CBR\ProcessedFiles\"&amp;Table1[[#This Row],[Units]]&amp;"\"&amp;Table1[[#This Row],[Asset Type]]&amp;"\"&amp;K378,"")</f>
        <v>D:\PAS\CBR\ProcessedFiles\WIL\SIS\LAR_WIL_SIS_SE_TRX_11_13_26_41_SIS_01</v>
      </c>
      <c r="M378" s="33" t="str">
        <f>"MKDIR "&amp;Table1[[#This Row],[Suggested Folder Naming]]</f>
        <v>MKDIR D:\PAS\CBR\ProcessedFiles\WIL\SIS\LAR_WIL_SIS_SE_TRX_11_13_26_41_SIS_01</v>
      </c>
    </row>
    <row r="379" spans="1:13" x14ac:dyDescent="0.25">
      <c r="A379" s="21"/>
      <c r="B379" s="7" t="s">
        <v>584</v>
      </c>
      <c r="C379" s="8" t="s">
        <v>475</v>
      </c>
      <c r="D379" s="19" t="s">
        <v>304</v>
      </c>
      <c r="E379" s="30" t="s">
        <v>230</v>
      </c>
      <c r="F379" s="31" t="s">
        <v>265</v>
      </c>
      <c r="G379" s="31" t="str">
        <f>_xlfn.IFNA(VLOOKUP(F379,'Look Table'!B$1:E$64,3,FALSE),"")</f>
        <v>SE</v>
      </c>
      <c r="H379" s="31" t="str">
        <f>_xlfn.IFNA(VLOOKUP(F379,'Look Table'!B$1:E$64,4,FALSE),"")</f>
        <v>TRX</v>
      </c>
      <c r="I379" s="41" t="s">
        <v>463</v>
      </c>
      <c r="J379" s="31" t="str">
        <f t="shared" si="5"/>
        <v>LAR_WIL</v>
      </c>
      <c r="K379" s="3" t="str">
        <f>J379&amp;"_"&amp;E379&amp;IF(ISNUMBER(SEARCH("PAS",G379)),"","_")&amp;(_xlfn.TEXTJOIN("_",TRUE,IF(G379 &lt;&gt; "PAS",G379:H379,""))&amp;(IF(Table1[[#This Row],[Sub-Area]]&lt;&gt;"",_xlfn.CONCAT("_",Table1[[#This Row],[Sub-Area]]),"")))</f>
        <v>LAR_WIL_SIS_SE_TRX_12_42_SIS_01</v>
      </c>
      <c r="L379" s="32" t="str">
        <f>IF(I379 &lt;&gt; "",I379&amp;":\PAS\CBR\ProcessedFiles\"&amp;Table1[[#This Row],[Units]]&amp;"\"&amp;Table1[[#This Row],[Asset Type]]&amp;"\"&amp;K379,"")</f>
        <v>D:\PAS\CBR\ProcessedFiles\WIL\SIS\LAR_WIL_SIS_SE_TRX_12_42_SIS_01</v>
      </c>
      <c r="M379" s="33" t="str">
        <f>"MKDIR "&amp;Table1[[#This Row],[Suggested Folder Naming]]</f>
        <v>MKDIR D:\PAS\CBR\ProcessedFiles\WIL\SIS\LAR_WIL_SIS_SE_TRX_12_42_SIS_01</v>
      </c>
    </row>
    <row r="380" spans="1:13" x14ac:dyDescent="0.25">
      <c r="A380" s="21"/>
      <c r="B380" s="7" t="s">
        <v>584</v>
      </c>
      <c r="C380" s="8" t="s">
        <v>475</v>
      </c>
      <c r="D380" s="19" t="s">
        <v>305</v>
      </c>
      <c r="E380" s="30" t="s">
        <v>230</v>
      </c>
      <c r="F380" s="31" t="s">
        <v>265</v>
      </c>
      <c r="G380" s="31" t="str">
        <f>_xlfn.IFNA(VLOOKUP(F380,'Look Table'!B$1:E$64,3,FALSE),"")</f>
        <v>SE</v>
      </c>
      <c r="H380" s="31" t="str">
        <f>_xlfn.IFNA(VLOOKUP(F380,'Look Table'!B$1:E$64,4,FALSE),"")</f>
        <v>TRX</v>
      </c>
      <c r="I380" s="41" t="s">
        <v>463</v>
      </c>
      <c r="J380" s="31" t="str">
        <f t="shared" si="5"/>
        <v>LAR_WIL</v>
      </c>
      <c r="K380" s="3" t="str">
        <f>J380&amp;"_"&amp;E380&amp;IF(ISNUMBER(SEARCH("PAS",G380)),"","_")&amp;(_xlfn.TEXTJOIN("_",TRUE,IF(G380 &lt;&gt; "PAS",G380:H380,""))&amp;(IF(Table1[[#This Row],[Sub-Area]]&lt;&gt;"",_xlfn.CONCAT("_",Table1[[#This Row],[Sub-Area]]),"")))</f>
        <v>LAR_WIL_SIS_SE_TRX_42_IPS_05</v>
      </c>
      <c r="L380" s="32" t="str">
        <f>IF(I380 &lt;&gt; "",I380&amp;":\PAS\CBR\ProcessedFiles\"&amp;Table1[[#This Row],[Units]]&amp;"\"&amp;Table1[[#This Row],[Asset Type]]&amp;"\"&amp;K380,"")</f>
        <v>D:\PAS\CBR\ProcessedFiles\WIL\SIS\LAR_WIL_SIS_SE_TRX_42_IPS_05</v>
      </c>
      <c r="M380" s="33" t="str">
        <f>"MKDIR "&amp;Table1[[#This Row],[Suggested Folder Naming]]</f>
        <v>MKDIR D:\PAS\CBR\ProcessedFiles\WIL\SIS\LAR_WIL_SIS_SE_TRX_42_IPS_05</v>
      </c>
    </row>
    <row r="381" spans="1:13" x14ac:dyDescent="0.25">
      <c r="A381" s="21"/>
      <c r="B381" s="7" t="s">
        <v>584</v>
      </c>
      <c r="C381" s="8" t="s">
        <v>475</v>
      </c>
      <c r="D381" s="19" t="s">
        <v>306</v>
      </c>
      <c r="E381" s="30" t="s">
        <v>230</v>
      </c>
      <c r="F381" s="31" t="s">
        <v>265</v>
      </c>
      <c r="G381" s="31" t="str">
        <f>_xlfn.IFNA(VLOOKUP(F381,'Look Table'!B$1:E$64,3,FALSE),"")</f>
        <v>SE</v>
      </c>
      <c r="H381" s="31" t="str">
        <f>_xlfn.IFNA(VLOOKUP(F381,'Look Table'!B$1:E$64,4,FALSE),"")</f>
        <v>TRX</v>
      </c>
      <c r="I381" s="41" t="s">
        <v>463</v>
      </c>
      <c r="J381" s="31" t="str">
        <f t="shared" si="5"/>
        <v>LAR_WIL</v>
      </c>
      <c r="K381" s="3" t="str">
        <f>J381&amp;"_"&amp;E381&amp;IF(ISNUMBER(SEARCH("PAS",G381)),"","_")&amp;(_xlfn.TEXTJOIN("_",TRUE,IF(G381 &lt;&gt; "PAS",G381:H381,""))&amp;(IF(Table1[[#This Row],[Sub-Area]]&lt;&gt;"",_xlfn.CONCAT("_",Table1[[#This Row],[Sub-Area]]),"")))</f>
        <v>LAR_WIL_SIS_SE_TRX_45_IPS_01</v>
      </c>
      <c r="L381" s="32" t="str">
        <f>IF(I381 &lt;&gt; "",I381&amp;":\PAS\CBR\ProcessedFiles\"&amp;Table1[[#This Row],[Units]]&amp;"\"&amp;Table1[[#This Row],[Asset Type]]&amp;"\"&amp;K381,"")</f>
        <v>D:\PAS\CBR\ProcessedFiles\WIL\SIS\LAR_WIL_SIS_SE_TRX_45_IPS_01</v>
      </c>
      <c r="M381" s="33" t="str">
        <f>"MKDIR "&amp;Table1[[#This Row],[Suggested Folder Naming]]</f>
        <v>MKDIR D:\PAS\CBR\ProcessedFiles\WIL\SIS\LAR_WIL_SIS_SE_TRX_45_IPS_01</v>
      </c>
    </row>
    <row r="382" spans="1:13" x14ac:dyDescent="0.25">
      <c r="A382" s="21"/>
      <c r="B382" s="7" t="s">
        <v>584</v>
      </c>
      <c r="C382" s="8" t="s">
        <v>475</v>
      </c>
      <c r="D382" s="19" t="s">
        <v>307</v>
      </c>
      <c r="E382" s="30" t="s">
        <v>211</v>
      </c>
      <c r="F382" s="31" t="s">
        <v>308</v>
      </c>
      <c r="G382" s="31" t="s">
        <v>309</v>
      </c>
      <c r="H382" s="31" t="s">
        <v>310</v>
      </c>
      <c r="I382" s="41" t="s">
        <v>463</v>
      </c>
      <c r="J382" s="31" t="str">
        <f t="shared" si="5"/>
        <v>LAR_WIL</v>
      </c>
      <c r="K382" s="3" t="str">
        <f>J382&amp;"_"&amp;E382&amp;IF(ISNUMBER(SEARCH("PAS",G382)),"","_")&amp;(_xlfn.TEXTJOIN("_",TRUE,IF(G382 &lt;&gt; "PAS",G382:H382,""))&amp;(IF(Table1[[#This Row],[Sub-Area]]&lt;&gt;"",_xlfn.CONCAT("_",Table1[[#This Row],[Sub-Area]]),"")))</f>
        <v>LAR_WIL_TCS_Woodward_GAP_Cogen_PAC_A</v>
      </c>
      <c r="L382" s="32" t="str">
        <f>IF(I382 &lt;&gt; "",I382&amp;":\PAS\CBR\ProcessedFiles\"&amp;Table1[[#This Row],[Units]]&amp;"\"&amp;Table1[[#This Row],[Asset Type]]&amp;"\"&amp;K382,"")</f>
        <v>D:\PAS\CBR\ProcessedFiles\WIL\TCS\LAR_WIL_TCS_Woodward_GAP_Cogen_PAC_A</v>
      </c>
      <c r="M382" s="33" t="str">
        <f>"MKDIR "&amp;Table1[[#This Row],[Suggested Folder Naming]]</f>
        <v>MKDIR D:\PAS\CBR\ProcessedFiles\WIL\TCS\LAR_WIL_TCS_Woodward_GAP_Cogen_PAC_A</v>
      </c>
    </row>
    <row r="383" spans="1:13" x14ac:dyDescent="0.25">
      <c r="A383" s="21"/>
      <c r="B383" s="7" t="s">
        <v>584</v>
      </c>
      <c r="C383" s="40" t="s">
        <v>475</v>
      </c>
      <c r="D383" s="19" t="s">
        <v>311</v>
      </c>
      <c r="E383" s="30" t="s">
        <v>211</v>
      </c>
      <c r="F383" s="31" t="s">
        <v>308</v>
      </c>
      <c r="G383" s="31" t="s">
        <v>309</v>
      </c>
      <c r="H383" s="31" t="s">
        <v>310</v>
      </c>
      <c r="I383" s="41" t="s">
        <v>463</v>
      </c>
      <c r="J383" s="31" t="str">
        <f t="shared" si="5"/>
        <v>LAR_WIL</v>
      </c>
      <c r="K383" s="3" t="str">
        <f>J383&amp;"_"&amp;E383&amp;IF(ISNUMBER(SEARCH("PAS",G383)),"","_")&amp;(_xlfn.TEXTJOIN("_",TRUE,IF(G383 &lt;&gt; "PAS",G383:H383,""))&amp;(IF(Table1[[#This Row],[Sub-Area]]&lt;&gt;"",_xlfn.CONCAT("_",Table1[[#This Row],[Sub-Area]]),"")))</f>
        <v>LAR_WIL_TCS_Woodward_GAP_Cogen_PAC_B</v>
      </c>
      <c r="L383" s="32" t="str">
        <f>IF(I383 &lt;&gt; "",I383&amp;":\PAS\CBR\ProcessedFiles\"&amp;Table1[[#This Row],[Units]]&amp;"\"&amp;Table1[[#This Row],[Asset Type]]&amp;"\"&amp;K383,"")</f>
        <v>D:\PAS\CBR\ProcessedFiles\WIL\TCS\LAR_WIL_TCS_Woodward_GAP_Cogen_PAC_B</v>
      </c>
      <c r="M383" s="42" t="str">
        <f>"MKDIR "&amp;Table1[[#This Row],[Suggested Folder Naming]]</f>
        <v>MKDIR D:\PAS\CBR\ProcessedFiles\WIL\TCS\LAR_WIL_TCS_Woodward_GAP_Cogen_PAC_B</v>
      </c>
    </row>
    <row r="384" spans="1:13" x14ac:dyDescent="0.25">
      <c r="A384" s="21"/>
      <c r="B384" s="7" t="s">
        <v>584</v>
      </c>
      <c r="C384" s="40" t="s">
        <v>475</v>
      </c>
      <c r="D384" s="19" t="s">
        <v>312</v>
      </c>
      <c r="E384" s="30" t="s">
        <v>211</v>
      </c>
      <c r="F384" s="31" t="s">
        <v>308</v>
      </c>
      <c r="G384" s="31" t="s">
        <v>309</v>
      </c>
      <c r="H384" s="31" t="s">
        <v>310</v>
      </c>
      <c r="I384" s="41" t="s">
        <v>463</v>
      </c>
      <c r="J384" s="31" t="str">
        <f t="shared" si="5"/>
        <v>LAR_WIL</v>
      </c>
      <c r="K384" s="3" t="str">
        <f>J384&amp;"_"&amp;E384&amp;IF(ISNUMBER(SEARCH("PAS",G384)),"","_")&amp;(_xlfn.TEXTJOIN("_",TRUE,IF(G384 &lt;&gt; "PAS",G384:H384,""))&amp;(IF(Table1[[#This Row],[Sub-Area]]&lt;&gt;"",_xlfn.CONCAT("_",Table1[[#This Row],[Sub-Area]]),"")))</f>
        <v>LAR_WIL_TCS_Woodward_GAP_Cogen_STG</v>
      </c>
      <c r="L384" s="32" t="str">
        <f>IF(I384 &lt;&gt; "",I384&amp;":\PAS\CBR\ProcessedFiles\"&amp;Table1[[#This Row],[Units]]&amp;"\"&amp;Table1[[#This Row],[Asset Type]]&amp;"\"&amp;K384,"")</f>
        <v>D:\PAS\CBR\ProcessedFiles\WIL\TCS\LAR_WIL_TCS_Woodward_GAP_Cogen_STG</v>
      </c>
      <c r="M384" s="42" t="str">
        <f>"MKDIR "&amp;Table1[[#This Row],[Suggested Folder Naming]]</f>
        <v>MKDIR D:\PAS\CBR\ProcessedFiles\WIL\TCS\LAR_WIL_TCS_Woodward_GAP_Cogen_STG</v>
      </c>
    </row>
  </sheetData>
  <phoneticPr fontId="13" type="noConversion"/>
  <dataValidations count="2">
    <dataValidation type="list" showInputMessage="1" showErrorMessage="1" sqref="F3:F278 F384" xr:uid="{1D4C6B04-109B-4E24-A900-047B8D890361}">
      <formula1>INDIRECT(E3)</formula1>
    </dataValidation>
    <dataValidation type="list" allowBlank="1" showInputMessage="1" showErrorMessage="1" sqref="F3:F384" xr:uid="{21F515F3-5200-418D-8962-687A5E0DB54D}">
      <formula1>INDIRECT(E3)</formula1>
    </dataValidation>
  </dataValidations>
  <pageMargins left="0.7" right="0.7" top="0.75" bottom="0.75" header="0.3" footer="0.3"/>
  <pageSetup orientation="portrait" horizontalDpi="300" verticalDpi="300" r:id="rId1"/>
  <webPublishItems count="1">
    <webPublishItem id="26369" divId="Assets_Template_26369" sourceType="sheet" destinationFile="C:\Users\TNguyen\Documents\Assets_Template.htm"/>
  </webPublishItem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6F8948D2-53C4-4441-AB62-527B672E6D0D}">
          <x14:formula1>
            <xm:f>Selections!$A$2:$A$16</xm:f>
          </x14:formula1>
          <xm:sqref>E3:E7</xm:sqref>
        </x14:dataValidation>
        <x14:dataValidation type="list" allowBlank="1" showInputMessage="1" showErrorMessage="1" xr:uid="{D96B6F67-5212-4315-86E0-E2245553D57E}">
          <x14:formula1>
            <xm:f>Selections!$A$3:$A$16</xm:f>
          </x14:formula1>
          <xm:sqref>E8:E88 E101:E153 E184:E186 E190:E278</xm:sqref>
        </x14:dataValidation>
        <x14:dataValidation type="list" showInputMessage="1" showErrorMessage="1" xr:uid="{903448BD-AC57-4171-B753-A2E9524610F0}">
          <x14:formula1>
            <xm:f>Selections!#REF!</xm:f>
          </x14:formula1>
          <xm:sqref>I385:I1048576 E385:F1048576</xm:sqref>
        </x14:dataValidation>
        <x14:dataValidation type="list" allowBlank="1" showInputMessage="1" showErrorMessage="1" xr:uid="{1DB03132-A542-4F6B-9E34-67FA9C3EAF7B}">
          <x14:formula1>
            <xm:f>Selections!#REF!</xm:f>
          </x14:formula1>
          <xm:sqref>E385:F1048576 H385:I1048576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4D95-CF7F-492F-B142-84D43CB59BBA}">
  <dimension ref="D1:D380"/>
  <sheetViews>
    <sheetView topLeftCell="A382" workbookViewId="0">
      <selection activeCell="D1" sqref="D1:D1048576"/>
    </sheetView>
  </sheetViews>
  <sheetFormatPr defaultRowHeight="15" x14ac:dyDescent="0.25"/>
  <cols>
    <col min="4" max="4" width="79.28515625" customWidth="1"/>
  </cols>
  <sheetData>
    <row r="1" spans="4:4" x14ac:dyDescent="0.25">
      <c r="D1" t="s">
        <v>970</v>
      </c>
    </row>
    <row r="2" spans="4:4" x14ac:dyDescent="0.25">
      <c r="D2" t="s">
        <v>591</v>
      </c>
    </row>
    <row r="3" spans="4:4" x14ac:dyDescent="0.25">
      <c r="D3" t="s">
        <v>592</v>
      </c>
    </row>
    <row r="4" spans="4:4" x14ac:dyDescent="0.25">
      <c r="D4" t="s">
        <v>593</v>
      </c>
    </row>
    <row r="5" spans="4:4" x14ac:dyDescent="0.25">
      <c r="D5" t="s">
        <v>594</v>
      </c>
    </row>
    <row r="6" spans="4:4" x14ac:dyDescent="0.25">
      <c r="D6" t="s">
        <v>595</v>
      </c>
    </row>
    <row r="7" spans="4:4" x14ac:dyDescent="0.25">
      <c r="D7" t="s">
        <v>596</v>
      </c>
    </row>
    <row r="8" spans="4:4" x14ac:dyDescent="0.25">
      <c r="D8" t="s">
        <v>597</v>
      </c>
    </row>
    <row r="9" spans="4:4" x14ac:dyDescent="0.25">
      <c r="D9" t="s">
        <v>598</v>
      </c>
    </row>
    <row r="10" spans="4:4" x14ac:dyDescent="0.25">
      <c r="D10" t="s">
        <v>599</v>
      </c>
    </row>
    <row r="11" spans="4:4" x14ac:dyDescent="0.25">
      <c r="D11" t="s">
        <v>600</v>
      </c>
    </row>
    <row r="12" spans="4:4" x14ac:dyDescent="0.25">
      <c r="D12" t="s">
        <v>601</v>
      </c>
    </row>
    <row r="13" spans="4:4" x14ac:dyDescent="0.25">
      <c r="D13" t="s">
        <v>602</v>
      </c>
    </row>
    <row r="14" spans="4:4" x14ac:dyDescent="0.25">
      <c r="D14" t="s">
        <v>603</v>
      </c>
    </row>
    <row r="15" spans="4:4" x14ac:dyDescent="0.25">
      <c r="D15" t="s">
        <v>604</v>
      </c>
    </row>
    <row r="16" spans="4:4" x14ac:dyDescent="0.25">
      <c r="D16" t="s">
        <v>605</v>
      </c>
    </row>
    <row r="17" spans="4:4" x14ac:dyDescent="0.25">
      <c r="D17" t="s">
        <v>606</v>
      </c>
    </row>
    <row r="18" spans="4:4" x14ac:dyDescent="0.25">
      <c r="D18" t="s">
        <v>607</v>
      </c>
    </row>
    <row r="19" spans="4:4" x14ac:dyDescent="0.25">
      <c r="D19" t="s">
        <v>608</v>
      </c>
    </row>
    <row r="20" spans="4:4" x14ac:dyDescent="0.25">
      <c r="D20" t="s">
        <v>609</v>
      </c>
    </row>
    <row r="21" spans="4:4" x14ac:dyDescent="0.25">
      <c r="D21" t="s">
        <v>610</v>
      </c>
    </row>
    <row r="22" spans="4:4" x14ac:dyDescent="0.25">
      <c r="D22" t="s">
        <v>611</v>
      </c>
    </row>
    <row r="23" spans="4:4" x14ac:dyDescent="0.25">
      <c r="D23" t="s">
        <v>612</v>
      </c>
    </row>
    <row r="24" spans="4:4" x14ac:dyDescent="0.25">
      <c r="D24" t="s">
        <v>613</v>
      </c>
    </row>
    <row r="25" spans="4:4" x14ac:dyDescent="0.25">
      <c r="D25" t="s">
        <v>614</v>
      </c>
    </row>
    <row r="26" spans="4:4" x14ac:dyDescent="0.25">
      <c r="D26" t="s">
        <v>615</v>
      </c>
    </row>
    <row r="27" spans="4:4" x14ac:dyDescent="0.25">
      <c r="D27" t="s">
        <v>616</v>
      </c>
    </row>
    <row r="28" spans="4:4" x14ac:dyDescent="0.25">
      <c r="D28" t="s">
        <v>617</v>
      </c>
    </row>
    <row r="29" spans="4:4" x14ac:dyDescent="0.25">
      <c r="D29" t="s">
        <v>618</v>
      </c>
    </row>
    <row r="30" spans="4:4" x14ac:dyDescent="0.25">
      <c r="D30" t="s">
        <v>619</v>
      </c>
    </row>
    <row r="31" spans="4:4" x14ac:dyDescent="0.25">
      <c r="D31" t="s">
        <v>620</v>
      </c>
    </row>
    <row r="32" spans="4:4" x14ac:dyDescent="0.25">
      <c r="D32" t="s">
        <v>621</v>
      </c>
    </row>
    <row r="33" spans="4:4" x14ac:dyDescent="0.25">
      <c r="D33" t="s">
        <v>622</v>
      </c>
    </row>
    <row r="34" spans="4:4" x14ac:dyDescent="0.25">
      <c r="D34" t="s">
        <v>623</v>
      </c>
    </row>
    <row r="35" spans="4:4" x14ac:dyDescent="0.25">
      <c r="D35" t="s">
        <v>624</v>
      </c>
    </row>
    <row r="36" spans="4:4" x14ac:dyDescent="0.25">
      <c r="D36" t="s">
        <v>625</v>
      </c>
    </row>
    <row r="37" spans="4:4" x14ac:dyDescent="0.25">
      <c r="D37" t="s">
        <v>626</v>
      </c>
    </row>
    <row r="38" spans="4:4" x14ac:dyDescent="0.25">
      <c r="D38" t="s">
        <v>627</v>
      </c>
    </row>
    <row r="39" spans="4:4" x14ac:dyDescent="0.25">
      <c r="D39" t="s">
        <v>628</v>
      </c>
    </row>
    <row r="40" spans="4:4" x14ac:dyDescent="0.25">
      <c r="D40" t="s">
        <v>629</v>
      </c>
    </row>
    <row r="41" spans="4:4" x14ac:dyDescent="0.25">
      <c r="D41" t="s">
        <v>630</v>
      </c>
    </row>
    <row r="42" spans="4:4" x14ac:dyDescent="0.25">
      <c r="D42" t="s">
        <v>631</v>
      </c>
    </row>
    <row r="43" spans="4:4" x14ac:dyDescent="0.25">
      <c r="D43" t="s">
        <v>632</v>
      </c>
    </row>
    <row r="44" spans="4:4" x14ac:dyDescent="0.25">
      <c r="D44" t="s">
        <v>633</v>
      </c>
    </row>
    <row r="45" spans="4:4" x14ac:dyDescent="0.25">
      <c r="D45" t="s">
        <v>634</v>
      </c>
    </row>
    <row r="46" spans="4:4" x14ac:dyDescent="0.25">
      <c r="D46" t="s">
        <v>635</v>
      </c>
    </row>
    <row r="47" spans="4:4" x14ac:dyDescent="0.25">
      <c r="D47" t="s">
        <v>636</v>
      </c>
    </row>
    <row r="48" spans="4:4" x14ac:dyDescent="0.25">
      <c r="D48" t="s">
        <v>637</v>
      </c>
    </row>
    <row r="49" spans="4:4" x14ac:dyDescent="0.25">
      <c r="D49" t="s">
        <v>638</v>
      </c>
    </row>
    <row r="50" spans="4:4" x14ac:dyDescent="0.25">
      <c r="D50" t="s">
        <v>639</v>
      </c>
    </row>
    <row r="51" spans="4:4" x14ac:dyDescent="0.25">
      <c r="D51" t="s">
        <v>640</v>
      </c>
    </row>
    <row r="52" spans="4:4" x14ac:dyDescent="0.25">
      <c r="D52" t="s">
        <v>641</v>
      </c>
    </row>
    <row r="53" spans="4:4" x14ac:dyDescent="0.25">
      <c r="D53" t="s">
        <v>642</v>
      </c>
    </row>
    <row r="54" spans="4:4" x14ac:dyDescent="0.25">
      <c r="D54" t="s">
        <v>643</v>
      </c>
    </row>
    <row r="55" spans="4:4" x14ac:dyDescent="0.25">
      <c r="D55" t="s">
        <v>644</v>
      </c>
    </row>
    <row r="56" spans="4:4" x14ac:dyDescent="0.25">
      <c r="D56" t="s">
        <v>645</v>
      </c>
    </row>
    <row r="57" spans="4:4" x14ac:dyDescent="0.25">
      <c r="D57" t="s">
        <v>646</v>
      </c>
    </row>
    <row r="58" spans="4:4" x14ac:dyDescent="0.25">
      <c r="D58" t="s">
        <v>647</v>
      </c>
    </row>
    <row r="59" spans="4:4" x14ac:dyDescent="0.25">
      <c r="D59" t="s">
        <v>648</v>
      </c>
    </row>
    <row r="60" spans="4:4" x14ac:dyDescent="0.25">
      <c r="D60" t="s">
        <v>649</v>
      </c>
    </row>
    <row r="61" spans="4:4" x14ac:dyDescent="0.25">
      <c r="D61" t="s">
        <v>650</v>
      </c>
    </row>
    <row r="62" spans="4:4" x14ac:dyDescent="0.25">
      <c r="D62" t="s">
        <v>651</v>
      </c>
    </row>
    <row r="63" spans="4:4" x14ac:dyDescent="0.25">
      <c r="D63" t="s">
        <v>652</v>
      </c>
    </row>
    <row r="64" spans="4:4" x14ac:dyDescent="0.25">
      <c r="D64" t="s">
        <v>653</v>
      </c>
    </row>
    <row r="65" spans="4:4" x14ac:dyDescent="0.25">
      <c r="D65" t="s">
        <v>654</v>
      </c>
    </row>
    <row r="66" spans="4:4" x14ac:dyDescent="0.25">
      <c r="D66" t="s">
        <v>655</v>
      </c>
    </row>
    <row r="67" spans="4:4" x14ac:dyDescent="0.25">
      <c r="D67" t="s">
        <v>656</v>
      </c>
    </row>
    <row r="68" spans="4:4" x14ac:dyDescent="0.25">
      <c r="D68" t="s">
        <v>657</v>
      </c>
    </row>
    <row r="69" spans="4:4" x14ac:dyDescent="0.25">
      <c r="D69" t="s">
        <v>658</v>
      </c>
    </row>
    <row r="70" spans="4:4" x14ac:dyDescent="0.25">
      <c r="D70" t="s">
        <v>659</v>
      </c>
    </row>
    <row r="71" spans="4:4" x14ac:dyDescent="0.25">
      <c r="D71" t="s">
        <v>660</v>
      </c>
    </row>
    <row r="72" spans="4:4" x14ac:dyDescent="0.25">
      <c r="D72" t="s">
        <v>661</v>
      </c>
    </row>
    <row r="73" spans="4:4" x14ac:dyDescent="0.25">
      <c r="D73" t="s">
        <v>662</v>
      </c>
    </row>
    <row r="74" spans="4:4" x14ac:dyDescent="0.25">
      <c r="D74" t="s">
        <v>663</v>
      </c>
    </row>
    <row r="75" spans="4:4" x14ac:dyDescent="0.25">
      <c r="D75" t="s">
        <v>664</v>
      </c>
    </row>
    <row r="76" spans="4:4" x14ac:dyDescent="0.25">
      <c r="D76" t="s">
        <v>665</v>
      </c>
    </row>
    <row r="77" spans="4:4" x14ac:dyDescent="0.25">
      <c r="D77" t="s">
        <v>666</v>
      </c>
    </row>
    <row r="78" spans="4:4" x14ac:dyDescent="0.25">
      <c r="D78" t="s">
        <v>667</v>
      </c>
    </row>
    <row r="79" spans="4:4" x14ac:dyDescent="0.25">
      <c r="D79" t="s">
        <v>668</v>
      </c>
    </row>
    <row r="80" spans="4:4" x14ac:dyDescent="0.25">
      <c r="D80" t="s">
        <v>669</v>
      </c>
    </row>
    <row r="81" spans="4:4" x14ac:dyDescent="0.25">
      <c r="D81" t="s">
        <v>670</v>
      </c>
    </row>
    <row r="82" spans="4:4" x14ac:dyDescent="0.25">
      <c r="D82" t="s">
        <v>671</v>
      </c>
    </row>
    <row r="83" spans="4:4" x14ac:dyDescent="0.25">
      <c r="D83" t="s">
        <v>672</v>
      </c>
    </row>
    <row r="84" spans="4:4" x14ac:dyDescent="0.25">
      <c r="D84" t="s">
        <v>673</v>
      </c>
    </row>
    <row r="85" spans="4:4" x14ac:dyDescent="0.25">
      <c r="D85" t="s">
        <v>674</v>
      </c>
    </row>
    <row r="86" spans="4:4" x14ac:dyDescent="0.25">
      <c r="D86" t="s">
        <v>675</v>
      </c>
    </row>
    <row r="87" spans="4:4" x14ac:dyDescent="0.25">
      <c r="D87" t="s">
        <v>676</v>
      </c>
    </row>
    <row r="88" spans="4:4" x14ac:dyDescent="0.25">
      <c r="D88" t="s">
        <v>677</v>
      </c>
    </row>
    <row r="89" spans="4:4" x14ac:dyDescent="0.25">
      <c r="D89" t="s">
        <v>678</v>
      </c>
    </row>
    <row r="90" spans="4:4" x14ac:dyDescent="0.25">
      <c r="D90" t="s">
        <v>679</v>
      </c>
    </row>
    <row r="91" spans="4:4" x14ac:dyDescent="0.25">
      <c r="D91" t="s">
        <v>680</v>
      </c>
    </row>
    <row r="92" spans="4:4" x14ac:dyDescent="0.25">
      <c r="D92" t="s">
        <v>681</v>
      </c>
    </row>
    <row r="93" spans="4:4" x14ac:dyDescent="0.25">
      <c r="D93" t="s">
        <v>682</v>
      </c>
    </row>
    <row r="94" spans="4:4" x14ac:dyDescent="0.25">
      <c r="D94" t="s">
        <v>683</v>
      </c>
    </row>
    <row r="95" spans="4:4" x14ac:dyDescent="0.25">
      <c r="D95" t="s">
        <v>684</v>
      </c>
    </row>
    <row r="96" spans="4:4" x14ac:dyDescent="0.25">
      <c r="D96" t="s">
        <v>685</v>
      </c>
    </row>
    <row r="97" spans="4:4" x14ac:dyDescent="0.25">
      <c r="D97" t="s">
        <v>686</v>
      </c>
    </row>
    <row r="98" spans="4:4" x14ac:dyDescent="0.25">
      <c r="D98" t="s">
        <v>687</v>
      </c>
    </row>
    <row r="99" spans="4:4" x14ac:dyDescent="0.25">
      <c r="D99" t="s">
        <v>688</v>
      </c>
    </row>
    <row r="100" spans="4:4" x14ac:dyDescent="0.25">
      <c r="D100" t="s">
        <v>689</v>
      </c>
    </row>
    <row r="101" spans="4:4" x14ac:dyDescent="0.25">
      <c r="D101" t="s">
        <v>690</v>
      </c>
    </row>
    <row r="102" spans="4:4" x14ac:dyDescent="0.25">
      <c r="D102" t="s">
        <v>691</v>
      </c>
    </row>
    <row r="103" spans="4:4" x14ac:dyDescent="0.25">
      <c r="D103" t="s">
        <v>692</v>
      </c>
    </row>
    <row r="104" spans="4:4" x14ac:dyDescent="0.25">
      <c r="D104" t="s">
        <v>693</v>
      </c>
    </row>
    <row r="105" spans="4:4" x14ac:dyDescent="0.25">
      <c r="D105" t="s">
        <v>694</v>
      </c>
    </row>
    <row r="106" spans="4:4" x14ac:dyDescent="0.25">
      <c r="D106" t="s">
        <v>695</v>
      </c>
    </row>
    <row r="107" spans="4:4" x14ac:dyDescent="0.25">
      <c r="D107" t="s">
        <v>696</v>
      </c>
    </row>
    <row r="108" spans="4:4" x14ac:dyDescent="0.25">
      <c r="D108" t="s">
        <v>697</v>
      </c>
    </row>
    <row r="109" spans="4:4" x14ac:dyDescent="0.25">
      <c r="D109" t="s">
        <v>698</v>
      </c>
    </row>
    <row r="110" spans="4:4" x14ac:dyDescent="0.25">
      <c r="D110" t="s">
        <v>699</v>
      </c>
    </row>
    <row r="111" spans="4:4" x14ac:dyDescent="0.25">
      <c r="D111" t="s">
        <v>700</v>
      </c>
    </row>
    <row r="112" spans="4:4" x14ac:dyDescent="0.25">
      <c r="D112" t="s">
        <v>701</v>
      </c>
    </row>
    <row r="113" spans="4:4" x14ac:dyDescent="0.25">
      <c r="D113" t="s">
        <v>702</v>
      </c>
    </row>
    <row r="114" spans="4:4" x14ac:dyDescent="0.25">
      <c r="D114" t="s">
        <v>703</v>
      </c>
    </row>
    <row r="115" spans="4:4" x14ac:dyDescent="0.25">
      <c r="D115" t="s">
        <v>704</v>
      </c>
    </row>
    <row r="116" spans="4:4" x14ac:dyDescent="0.25">
      <c r="D116" t="s">
        <v>705</v>
      </c>
    </row>
    <row r="117" spans="4:4" x14ac:dyDescent="0.25">
      <c r="D117" t="s">
        <v>706</v>
      </c>
    </row>
    <row r="118" spans="4:4" x14ac:dyDescent="0.25">
      <c r="D118" t="s">
        <v>707</v>
      </c>
    </row>
    <row r="119" spans="4:4" x14ac:dyDescent="0.25">
      <c r="D119" t="s">
        <v>708</v>
      </c>
    </row>
    <row r="120" spans="4:4" x14ac:dyDescent="0.25">
      <c r="D120" t="s">
        <v>709</v>
      </c>
    </row>
    <row r="121" spans="4:4" x14ac:dyDescent="0.25">
      <c r="D121" t="s">
        <v>710</v>
      </c>
    </row>
    <row r="122" spans="4:4" x14ac:dyDescent="0.25">
      <c r="D122" t="s">
        <v>711</v>
      </c>
    </row>
    <row r="123" spans="4:4" x14ac:dyDescent="0.25">
      <c r="D123" t="s">
        <v>712</v>
      </c>
    </row>
    <row r="124" spans="4:4" x14ac:dyDescent="0.25">
      <c r="D124" t="s">
        <v>713</v>
      </c>
    </row>
    <row r="125" spans="4:4" x14ac:dyDescent="0.25">
      <c r="D125" t="s">
        <v>714</v>
      </c>
    </row>
    <row r="126" spans="4:4" x14ac:dyDescent="0.25">
      <c r="D126" t="s">
        <v>715</v>
      </c>
    </row>
    <row r="127" spans="4:4" x14ac:dyDescent="0.25">
      <c r="D127" t="s">
        <v>716</v>
      </c>
    </row>
    <row r="128" spans="4:4" x14ac:dyDescent="0.25">
      <c r="D128" t="s">
        <v>717</v>
      </c>
    </row>
    <row r="129" spans="4:4" x14ac:dyDescent="0.25">
      <c r="D129" t="s">
        <v>718</v>
      </c>
    </row>
    <row r="130" spans="4:4" x14ac:dyDescent="0.25">
      <c r="D130" t="s">
        <v>719</v>
      </c>
    </row>
    <row r="131" spans="4:4" x14ac:dyDescent="0.25">
      <c r="D131" t="s">
        <v>720</v>
      </c>
    </row>
    <row r="132" spans="4:4" x14ac:dyDescent="0.25">
      <c r="D132" t="s">
        <v>721</v>
      </c>
    </row>
    <row r="133" spans="4:4" x14ac:dyDescent="0.25">
      <c r="D133" t="s">
        <v>722</v>
      </c>
    </row>
    <row r="134" spans="4:4" x14ac:dyDescent="0.25">
      <c r="D134" t="s">
        <v>723</v>
      </c>
    </row>
    <row r="135" spans="4:4" x14ac:dyDescent="0.25">
      <c r="D135" t="s">
        <v>724</v>
      </c>
    </row>
    <row r="136" spans="4:4" x14ac:dyDescent="0.25">
      <c r="D136" t="s">
        <v>725</v>
      </c>
    </row>
    <row r="137" spans="4:4" x14ac:dyDescent="0.25">
      <c r="D137" t="s">
        <v>726</v>
      </c>
    </row>
    <row r="138" spans="4:4" x14ac:dyDescent="0.25">
      <c r="D138" t="s">
        <v>727</v>
      </c>
    </row>
    <row r="139" spans="4:4" x14ac:dyDescent="0.25">
      <c r="D139" t="s">
        <v>728</v>
      </c>
    </row>
    <row r="140" spans="4:4" x14ac:dyDescent="0.25">
      <c r="D140" t="s">
        <v>729</v>
      </c>
    </row>
    <row r="141" spans="4:4" x14ac:dyDescent="0.25">
      <c r="D141" t="s">
        <v>730</v>
      </c>
    </row>
    <row r="142" spans="4:4" x14ac:dyDescent="0.25">
      <c r="D142" t="s">
        <v>731</v>
      </c>
    </row>
    <row r="143" spans="4:4" x14ac:dyDescent="0.25">
      <c r="D143" t="s">
        <v>732</v>
      </c>
    </row>
    <row r="144" spans="4:4" x14ac:dyDescent="0.25">
      <c r="D144" t="s">
        <v>733</v>
      </c>
    </row>
    <row r="145" spans="4:4" x14ac:dyDescent="0.25">
      <c r="D145" t="s">
        <v>734</v>
      </c>
    </row>
    <row r="146" spans="4:4" x14ac:dyDescent="0.25">
      <c r="D146" t="s">
        <v>735</v>
      </c>
    </row>
    <row r="147" spans="4:4" x14ac:dyDescent="0.25">
      <c r="D147" t="s">
        <v>736</v>
      </c>
    </row>
    <row r="148" spans="4:4" x14ac:dyDescent="0.25">
      <c r="D148" t="s">
        <v>737</v>
      </c>
    </row>
    <row r="149" spans="4:4" x14ac:dyDescent="0.25">
      <c r="D149" t="s">
        <v>738</v>
      </c>
    </row>
    <row r="150" spans="4:4" x14ac:dyDescent="0.25">
      <c r="D150" t="s">
        <v>739</v>
      </c>
    </row>
    <row r="151" spans="4:4" x14ac:dyDescent="0.25">
      <c r="D151" t="s">
        <v>740</v>
      </c>
    </row>
    <row r="152" spans="4:4" x14ac:dyDescent="0.25">
      <c r="D152" t="s">
        <v>741</v>
      </c>
    </row>
    <row r="153" spans="4:4" x14ac:dyDescent="0.25">
      <c r="D153" t="s">
        <v>742</v>
      </c>
    </row>
    <row r="154" spans="4:4" x14ac:dyDescent="0.25">
      <c r="D154" t="s">
        <v>743</v>
      </c>
    </row>
    <row r="155" spans="4:4" x14ac:dyDescent="0.25">
      <c r="D155" t="s">
        <v>744</v>
      </c>
    </row>
    <row r="156" spans="4:4" x14ac:dyDescent="0.25">
      <c r="D156" t="s">
        <v>745</v>
      </c>
    </row>
    <row r="157" spans="4:4" x14ac:dyDescent="0.25">
      <c r="D157" t="s">
        <v>746</v>
      </c>
    </row>
    <row r="158" spans="4:4" x14ac:dyDescent="0.25">
      <c r="D158" t="s">
        <v>747</v>
      </c>
    </row>
    <row r="159" spans="4:4" x14ac:dyDescent="0.25">
      <c r="D159" t="s">
        <v>748</v>
      </c>
    </row>
    <row r="160" spans="4:4" x14ac:dyDescent="0.25">
      <c r="D160" t="s">
        <v>749</v>
      </c>
    </row>
    <row r="161" spans="4:4" x14ac:dyDescent="0.25">
      <c r="D161" t="s">
        <v>750</v>
      </c>
    </row>
    <row r="162" spans="4:4" x14ac:dyDescent="0.25">
      <c r="D162" t="s">
        <v>751</v>
      </c>
    </row>
    <row r="163" spans="4:4" x14ac:dyDescent="0.25">
      <c r="D163" t="s">
        <v>752</v>
      </c>
    </row>
    <row r="164" spans="4:4" x14ac:dyDescent="0.25">
      <c r="D164" t="s">
        <v>753</v>
      </c>
    </row>
    <row r="165" spans="4:4" x14ac:dyDescent="0.25">
      <c r="D165" t="s">
        <v>754</v>
      </c>
    </row>
    <row r="166" spans="4:4" x14ac:dyDescent="0.25">
      <c r="D166" t="s">
        <v>755</v>
      </c>
    </row>
    <row r="167" spans="4:4" x14ac:dyDescent="0.25">
      <c r="D167" t="s">
        <v>756</v>
      </c>
    </row>
    <row r="168" spans="4:4" x14ac:dyDescent="0.25">
      <c r="D168" t="s">
        <v>757</v>
      </c>
    </row>
    <row r="169" spans="4:4" x14ac:dyDescent="0.25">
      <c r="D169" t="s">
        <v>758</v>
      </c>
    </row>
    <row r="170" spans="4:4" x14ac:dyDescent="0.25">
      <c r="D170" t="s">
        <v>759</v>
      </c>
    </row>
    <row r="171" spans="4:4" x14ac:dyDescent="0.25">
      <c r="D171" t="s">
        <v>760</v>
      </c>
    </row>
    <row r="172" spans="4:4" x14ac:dyDescent="0.25">
      <c r="D172" t="s">
        <v>761</v>
      </c>
    </row>
    <row r="173" spans="4:4" x14ac:dyDescent="0.25">
      <c r="D173" t="s">
        <v>762</v>
      </c>
    </row>
    <row r="174" spans="4:4" x14ac:dyDescent="0.25">
      <c r="D174" t="s">
        <v>763</v>
      </c>
    </row>
    <row r="175" spans="4:4" x14ac:dyDescent="0.25">
      <c r="D175" t="s">
        <v>764</v>
      </c>
    </row>
    <row r="176" spans="4:4" x14ac:dyDescent="0.25">
      <c r="D176" t="s">
        <v>765</v>
      </c>
    </row>
    <row r="177" spans="4:4" x14ac:dyDescent="0.25">
      <c r="D177" t="s">
        <v>766</v>
      </c>
    </row>
    <row r="178" spans="4:4" x14ac:dyDescent="0.25">
      <c r="D178" t="s">
        <v>767</v>
      </c>
    </row>
    <row r="179" spans="4:4" x14ac:dyDescent="0.25">
      <c r="D179" t="s">
        <v>768</v>
      </c>
    </row>
    <row r="180" spans="4:4" x14ac:dyDescent="0.25">
      <c r="D180" t="s">
        <v>769</v>
      </c>
    </row>
    <row r="181" spans="4:4" x14ac:dyDescent="0.25">
      <c r="D181" t="s">
        <v>770</v>
      </c>
    </row>
    <row r="182" spans="4:4" x14ac:dyDescent="0.25">
      <c r="D182" t="s">
        <v>771</v>
      </c>
    </row>
    <row r="183" spans="4:4" x14ac:dyDescent="0.25">
      <c r="D183" t="s">
        <v>772</v>
      </c>
    </row>
    <row r="184" spans="4:4" x14ac:dyDescent="0.25">
      <c r="D184" t="s">
        <v>773</v>
      </c>
    </row>
    <row r="185" spans="4:4" x14ac:dyDescent="0.25">
      <c r="D185" t="s">
        <v>774</v>
      </c>
    </row>
    <row r="186" spans="4:4" x14ac:dyDescent="0.25">
      <c r="D186" t="s">
        <v>775</v>
      </c>
    </row>
    <row r="187" spans="4:4" x14ac:dyDescent="0.25">
      <c r="D187" t="s">
        <v>776</v>
      </c>
    </row>
    <row r="188" spans="4:4" x14ac:dyDescent="0.25">
      <c r="D188" t="s">
        <v>777</v>
      </c>
    </row>
    <row r="189" spans="4:4" x14ac:dyDescent="0.25">
      <c r="D189" t="s">
        <v>778</v>
      </c>
    </row>
    <row r="190" spans="4:4" x14ac:dyDescent="0.25">
      <c r="D190" t="s">
        <v>779</v>
      </c>
    </row>
    <row r="191" spans="4:4" x14ac:dyDescent="0.25">
      <c r="D191" t="s">
        <v>780</v>
      </c>
    </row>
    <row r="192" spans="4:4" x14ac:dyDescent="0.25">
      <c r="D192" t="s">
        <v>781</v>
      </c>
    </row>
    <row r="193" spans="4:4" x14ac:dyDescent="0.25">
      <c r="D193" t="s">
        <v>782</v>
      </c>
    </row>
    <row r="194" spans="4:4" x14ac:dyDescent="0.25">
      <c r="D194" t="s">
        <v>783</v>
      </c>
    </row>
    <row r="195" spans="4:4" x14ac:dyDescent="0.25">
      <c r="D195" t="s">
        <v>784</v>
      </c>
    </row>
    <row r="196" spans="4:4" x14ac:dyDescent="0.25">
      <c r="D196" t="s">
        <v>785</v>
      </c>
    </row>
    <row r="197" spans="4:4" x14ac:dyDescent="0.25">
      <c r="D197" t="s">
        <v>786</v>
      </c>
    </row>
    <row r="198" spans="4:4" x14ac:dyDescent="0.25">
      <c r="D198" t="s">
        <v>787</v>
      </c>
    </row>
    <row r="199" spans="4:4" x14ac:dyDescent="0.25">
      <c r="D199" t="s">
        <v>788</v>
      </c>
    </row>
    <row r="200" spans="4:4" x14ac:dyDescent="0.25">
      <c r="D200" t="s">
        <v>789</v>
      </c>
    </row>
    <row r="201" spans="4:4" x14ac:dyDescent="0.25">
      <c r="D201" t="s">
        <v>790</v>
      </c>
    </row>
    <row r="202" spans="4:4" x14ac:dyDescent="0.25">
      <c r="D202" t="s">
        <v>791</v>
      </c>
    </row>
    <row r="203" spans="4:4" x14ac:dyDescent="0.25">
      <c r="D203" t="s">
        <v>792</v>
      </c>
    </row>
    <row r="204" spans="4:4" x14ac:dyDescent="0.25">
      <c r="D204" t="s">
        <v>793</v>
      </c>
    </row>
    <row r="205" spans="4:4" x14ac:dyDescent="0.25">
      <c r="D205" t="s">
        <v>794</v>
      </c>
    </row>
    <row r="206" spans="4:4" x14ac:dyDescent="0.25">
      <c r="D206" t="s">
        <v>795</v>
      </c>
    </row>
    <row r="207" spans="4:4" x14ac:dyDescent="0.25">
      <c r="D207" t="s">
        <v>796</v>
      </c>
    </row>
    <row r="208" spans="4:4" x14ac:dyDescent="0.25">
      <c r="D208" t="s">
        <v>797</v>
      </c>
    </row>
    <row r="209" spans="4:4" x14ac:dyDescent="0.25">
      <c r="D209" t="s">
        <v>798</v>
      </c>
    </row>
    <row r="210" spans="4:4" x14ac:dyDescent="0.25">
      <c r="D210" t="s">
        <v>799</v>
      </c>
    </row>
    <row r="211" spans="4:4" x14ac:dyDescent="0.25">
      <c r="D211" t="s">
        <v>800</v>
      </c>
    </row>
    <row r="212" spans="4:4" x14ac:dyDescent="0.25">
      <c r="D212" t="s">
        <v>801</v>
      </c>
    </row>
    <row r="213" spans="4:4" x14ac:dyDescent="0.25">
      <c r="D213" t="s">
        <v>802</v>
      </c>
    </row>
    <row r="214" spans="4:4" x14ac:dyDescent="0.25">
      <c r="D214" t="s">
        <v>803</v>
      </c>
    </row>
    <row r="215" spans="4:4" x14ac:dyDescent="0.25">
      <c r="D215" t="s">
        <v>804</v>
      </c>
    </row>
    <row r="216" spans="4:4" x14ac:dyDescent="0.25">
      <c r="D216" t="s">
        <v>805</v>
      </c>
    </row>
    <row r="217" spans="4:4" x14ac:dyDescent="0.25">
      <c r="D217" t="s">
        <v>806</v>
      </c>
    </row>
    <row r="218" spans="4:4" x14ac:dyDescent="0.25">
      <c r="D218" t="s">
        <v>807</v>
      </c>
    </row>
    <row r="219" spans="4:4" x14ac:dyDescent="0.25">
      <c r="D219" t="s">
        <v>808</v>
      </c>
    </row>
    <row r="220" spans="4:4" x14ac:dyDescent="0.25">
      <c r="D220" t="s">
        <v>809</v>
      </c>
    </row>
    <row r="221" spans="4:4" x14ac:dyDescent="0.25">
      <c r="D221" t="s">
        <v>810</v>
      </c>
    </row>
    <row r="222" spans="4:4" x14ac:dyDescent="0.25">
      <c r="D222" t="s">
        <v>811</v>
      </c>
    </row>
    <row r="223" spans="4:4" x14ac:dyDescent="0.25">
      <c r="D223" t="s">
        <v>812</v>
      </c>
    </row>
    <row r="224" spans="4:4" x14ac:dyDescent="0.25">
      <c r="D224" t="s">
        <v>813</v>
      </c>
    </row>
    <row r="225" spans="4:4" x14ac:dyDescent="0.25">
      <c r="D225" t="s">
        <v>814</v>
      </c>
    </row>
    <row r="226" spans="4:4" x14ac:dyDescent="0.25">
      <c r="D226" t="s">
        <v>815</v>
      </c>
    </row>
    <row r="227" spans="4:4" x14ac:dyDescent="0.25">
      <c r="D227" t="s">
        <v>816</v>
      </c>
    </row>
    <row r="228" spans="4:4" x14ac:dyDescent="0.25">
      <c r="D228" t="s">
        <v>817</v>
      </c>
    </row>
    <row r="229" spans="4:4" x14ac:dyDescent="0.25">
      <c r="D229" t="s">
        <v>818</v>
      </c>
    </row>
    <row r="230" spans="4:4" x14ac:dyDescent="0.25">
      <c r="D230" t="s">
        <v>819</v>
      </c>
    </row>
    <row r="231" spans="4:4" x14ac:dyDescent="0.25">
      <c r="D231" t="s">
        <v>820</v>
      </c>
    </row>
    <row r="232" spans="4:4" x14ac:dyDescent="0.25">
      <c r="D232" t="s">
        <v>821</v>
      </c>
    </row>
    <row r="233" spans="4:4" x14ac:dyDescent="0.25">
      <c r="D233" t="s">
        <v>822</v>
      </c>
    </row>
    <row r="234" spans="4:4" x14ac:dyDescent="0.25">
      <c r="D234" t="s">
        <v>823</v>
      </c>
    </row>
    <row r="235" spans="4:4" x14ac:dyDescent="0.25">
      <c r="D235" t="s">
        <v>824</v>
      </c>
    </row>
    <row r="236" spans="4:4" x14ac:dyDescent="0.25">
      <c r="D236" t="s">
        <v>825</v>
      </c>
    </row>
    <row r="237" spans="4:4" x14ac:dyDescent="0.25">
      <c r="D237" t="s">
        <v>826</v>
      </c>
    </row>
    <row r="238" spans="4:4" x14ac:dyDescent="0.25">
      <c r="D238" t="s">
        <v>827</v>
      </c>
    </row>
    <row r="239" spans="4:4" x14ac:dyDescent="0.25">
      <c r="D239" t="s">
        <v>828</v>
      </c>
    </row>
    <row r="240" spans="4:4" x14ac:dyDescent="0.25">
      <c r="D240" t="s">
        <v>829</v>
      </c>
    </row>
    <row r="241" spans="4:4" x14ac:dyDescent="0.25">
      <c r="D241" t="s">
        <v>830</v>
      </c>
    </row>
    <row r="242" spans="4:4" x14ac:dyDescent="0.25">
      <c r="D242" t="s">
        <v>831</v>
      </c>
    </row>
    <row r="243" spans="4:4" x14ac:dyDescent="0.25">
      <c r="D243" t="s">
        <v>832</v>
      </c>
    </row>
    <row r="244" spans="4:4" x14ac:dyDescent="0.25">
      <c r="D244" t="s">
        <v>833</v>
      </c>
    </row>
    <row r="245" spans="4:4" x14ac:dyDescent="0.25">
      <c r="D245" t="s">
        <v>834</v>
      </c>
    </row>
    <row r="246" spans="4:4" x14ac:dyDescent="0.25">
      <c r="D246" t="s">
        <v>835</v>
      </c>
    </row>
    <row r="247" spans="4:4" x14ac:dyDescent="0.25">
      <c r="D247" t="s">
        <v>836</v>
      </c>
    </row>
    <row r="248" spans="4:4" x14ac:dyDescent="0.25">
      <c r="D248" t="s">
        <v>837</v>
      </c>
    </row>
    <row r="249" spans="4:4" x14ac:dyDescent="0.25">
      <c r="D249" t="s">
        <v>838</v>
      </c>
    </row>
    <row r="250" spans="4:4" x14ac:dyDescent="0.25">
      <c r="D250" t="s">
        <v>839</v>
      </c>
    </row>
    <row r="251" spans="4:4" x14ac:dyDescent="0.25">
      <c r="D251" t="s">
        <v>840</v>
      </c>
    </row>
    <row r="252" spans="4:4" x14ac:dyDescent="0.25">
      <c r="D252" t="s">
        <v>841</v>
      </c>
    </row>
    <row r="253" spans="4:4" x14ac:dyDescent="0.25">
      <c r="D253" t="s">
        <v>842</v>
      </c>
    </row>
    <row r="254" spans="4:4" x14ac:dyDescent="0.25">
      <c r="D254" t="s">
        <v>843</v>
      </c>
    </row>
    <row r="255" spans="4:4" x14ac:dyDescent="0.25">
      <c r="D255" t="s">
        <v>844</v>
      </c>
    </row>
    <row r="256" spans="4:4" x14ac:dyDescent="0.25">
      <c r="D256" t="s">
        <v>845</v>
      </c>
    </row>
    <row r="257" spans="4:4" x14ac:dyDescent="0.25">
      <c r="D257" t="s">
        <v>846</v>
      </c>
    </row>
    <row r="258" spans="4:4" x14ac:dyDescent="0.25">
      <c r="D258" t="s">
        <v>847</v>
      </c>
    </row>
    <row r="259" spans="4:4" x14ac:dyDescent="0.25">
      <c r="D259" t="s">
        <v>848</v>
      </c>
    </row>
    <row r="260" spans="4:4" x14ac:dyDescent="0.25">
      <c r="D260" t="s">
        <v>849</v>
      </c>
    </row>
    <row r="261" spans="4:4" x14ac:dyDescent="0.25">
      <c r="D261" t="s">
        <v>850</v>
      </c>
    </row>
    <row r="262" spans="4:4" x14ac:dyDescent="0.25">
      <c r="D262" t="s">
        <v>851</v>
      </c>
    </row>
    <row r="263" spans="4:4" x14ac:dyDescent="0.25">
      <c r="D263" t="s">
        <v>852</v>
      </c>
    </row>
    <row r="264" spans="4:4" x14ac:dyDescent="0.25">
      <c r="D264" t="s">
        <v>853</v>
      </c>
    </row>
    <row r="265" spans="4:4" x14ac:dyDescent="0.25">
      <c r="D265" t="s">
        <v>854</v>
      </c>
    </row>
    <row r="266" spans="4:4" x14ac:dyDescent="0.25">
      <c r="D266" t="s">
        <v>855</v>
      </c>
    </row>
    <row r="267" spans="4:4" x14ac:dyDescent="0.25">
      <c r="D267" t="s">
        <v>856</v>
      </c>
    </row>
    <row r="268" spans="4:4" x14ac:dyDescent="0.25">
      <c r="D268" t="s">
        <v>857</v>
      </c>
    </row>
    <row r="269" spans="4:4" x14ac:dyDescent="0.25">
      <c r="D269" t="s">
        <v>858</v>
      </c>
    </row>
    <row r="270" spans="4:4" x14ac:dyDescent="0.25">
      <c r="D270" t="s">
        <v>859</v>
      </c>
    </row>
    <row r="271" spans="4:4" x14ac:dyDescent="0.25">
      <c r="D271" t="s">
        <v>860</v>
      </c>
    </row>
    <row r="272" spans="4:4" x14ac:dyDescent="0.25">
      <c r="D272" t="s">
        <v>861</v>
      </c>
    </row>
    <row r="273" spans="4:4" x14ac:dyDescent="0.25">
      <c r="D273" t="s">
        <v>862</v>
      </c>
    </row>
    <row r="274" spans="4:4" x14ac:dyDescent="0.25">
      <c r="D274" t="s">
        <v>863</v>
      </c>
    </row>
    <row r="275" spans="4:4" x14ac:dyDescent="0.25">
      <c r="D275" t="s">
        <v>864</v>
      </c>
    </row>
    <row r="276" spans="4:4" x14ac:dyDescent="0.25">
      <c r="D276" t="s">
        <v>865</v>
      </c>
    </row>
    <row r="277" spans="4:4" x14ac:dyDescent="0.25">
      <c r="D277" t="s">
        <v>866</v>
      </c>
    </row>
    <row r="278" spans="4:4" x14ac:dyDescent="0.25">
      <c r="D278" t="s">
        <v>867</v>
      </c>
    </row>
    <row r="279" spans="4:4" x14ac:dyDescent="0.25">
      <c r="D279" t="s">
        <v>868</v>
      </c>
    </row>
    <row r="280" spans="4:4" x14ac:dyDescent="0.25">
      <c r="D280" t="s">
        <v>869</v>
      </c>
    </row>
    <row r="281" spans="4:4" x14ac:dyDescent="0.25">
      <c r="D281" t="s">
        <v>870</v>
      </c>
    </row>
    <row r="282" spans="4:4" x14ac:dyDescent="0.25">
      <c r="D282" t="s">
        <v>871</v>
      </c>
    </row>
    <row r="283" spans="4:4" x14ac:dyDescent="0.25">
      <c r="D283" t="s">
        <v>872</v>
      </c>
    </row>
    <row r="284" spans="4:4" x14ac:dyDescent="0.25">
      <c r="D284" t="s">
        <v>873</v>
      </c>
    </row>
    <row r="285" spans="4:4" x14ac:dyDescent="0.25">
      <c r="D285" t="s">
        <v>874</v>
      </c>
    </row>
    <row r="286" spans="4:4" x14ac:dyDescent="0.25">
      <c r="D286" t="s">
        <v>875</v>
      </c>
    </row>
    <row r="287" spans="4:4" x14ac:dyDescent="0.25">
      <c r="D287" t="s">
        <v>876</v>
      </c>
    </row>
    <row r="288" spans="4:4" x14ac:dyDescent="0.25">
      <c r="D288" t="s">
        <v>877</v>
      </c>
    </row>
    <row r="289" spans="4:4" x14ac:dyDescent="0.25">
      <c r="D289" t="s">
        <v>878</v>
      </c>
    </row>
    <row r="290" spans="4:4" x14ac:dyDescent="0.25">
      <c r="D290" t="s">
        <v>879</v>
      </c>
    </row>
    <row r="291" spans="4:4" x14ac:dyDescent="0.25">
      <c r="D291" t="s">
        <v>880</v>
      </c>
    </row>
    <row r="292" spans="4:4" x14ac:dyDescent="0.25">
      <c r="D292" t="s">
        <v>881</v>
      </c>
    </row>
    <row r="293" spans="4:4" x14ac:dyDescent="0.25">
      <c r="D293" t="s">
        <v>882</v>
      </c>
    </row>
    <row r="294" spans="4:4" x14ac:dyDescent="0.25">
      <c r="D294" t="s">
        <v>883</v>
      </c>
    </row>
    <row r="295" spans="4:4" x14ac:dyDescent="0.25">
      <c r="D295" t="s">
        <v>884</v>
      </c>
    </row>
    <row r="296" spans="4:4" x14ac:dyDescent="0.25">
      <c r="D296" t="s">
        <v>885</v>
      </c>
    </row>
    <row r="297" spans="4:4" x14ac:dyDescent="0.25">
      <c r="D297" t="s">
        <v>886</v>
      </c>
    </row>
    <row r="298" spans="4:4" x14ac:dyDescent="0.25">
      <c r="D298" t="s">
        <v>887</v>
      </c>
    </row>
    <row r="299" spans="4:4" x14ac:dyDescent="0.25">
      <c r="D299" t="s">
        <v>888</v>
      </c>
    </row>
    <row r="300" spans="4:4" x14ac:dyDescent="0.25">
      <c r="D300" t="s">
        <v>889</v>
      </c>
    </row>
    <row r="301" spans="4:4" x14ac:dyDescent="0.25">
      <c r="D301" t="s">
        <v>890</v>
      </c>
    </row>
    <row r="302" spans="4:4" x14ac:dyDescent="0.25">
      <c r="D302" t="s">
        <v>891</v>
      </c>
    </row>
    <row r="303" spans="4:4" x14ac:dyDescent="0.25">
      <c r="D303" t="s">
        <v>892</v>
      </c>
    </row>
    <row r="304" spans="4:4" x14ac:dyDescent="0.25">
      <c r="D304" t="s">
        <v>893</v>
      </c>
    </row>
    <row r="305" spans="4:4" x14ac:dyDescent="0.25">
      <c r="D305" t="s">
        <v>894</v>
      </c>
    </row>
    <row r="306" spans="4:4" x14ac:dyDescent="0.25">
      <c r="D306" t="s">
        <v>895</v>
      </c>
    </row>
    <row r="307" spans="4:4" x14ac:dyDescent="0.25">
      <c r="D307" t="s">
        <v>896</v>
      </c>
    </row>
    <row r="308" spans="4:4" x14ac:dyDescent="0.25">
      <c r="D308" t="s">
        <v>897</v>
      </c>
    </row>
    <row r="309" spans="4:4" x14ac:dyDescent="0.25">
      <c r="D309" t="s">
        <v>898</v>
      </c>
    </row>
    <row r="310" spans="4:4" x14ac:dyDescent="0.25">
      <c r="D310" t="s">
        <v>899</v>
      </c>
    </row>
    <row r="311" spans="4:4" x14ac:dyDescent="0.25">
      <c r="D311" t="s">
        <v>900</v>
      </c>
    </row>
    <row r="312" spans="4:4" x14ac:dyDescent="0.25">
      <c r="D312" t="s">
        <v>901</v>
      </c>
    </row>
    <row r="313" spans="4:4" x14ac:dyDescent="0.25">
      <c r="D313" t="s">
        <v>902</v>
      </c>
    </row>
    <row r="314" spans="4:4" x14ac:dyDescent="0.25">
      <c r="D314" t="s">
        <v>903</v>
      </c>
    </row>
    <row r="315" spans="4:4" x14ac:dyDescent="0.25">
      <c r="D315" t="s">
        <v>904</v>
      </c>
    </row>
    <row r="316" spans="4:4" x14ac:dyDescent="0.25">
      <c r="D316" t="s">
        <v>905</v>
      </c>
    </row>
    <row r="317" spans="4:4" x14ac:dyDescent="0.25">
      <c r="D317" t="s">
        <v>906</v>
      </c>
    </row>
    <row r="318" spans="4:4" x14ac:dyDescent="0.25">
      <c r="D318" t="s">
        <v>907</v>
      </c>
    </row>
    <row r="319" spans="4:4" x14ac:dyDescent="0.25">
      <c r="D319" t="s">
        <v>908</v>
      </c>
    </row>
    <row r="320" spans="4:4" x14ac:dyDescent="0.25">
      <c r="D320" t="s">
        <v>909</v>
      </c>
    </row>
    <row r="321" spans="4:4" x14ac:dyDescent="0.25">
      <c r="D321" t="s">
        <v>910</v>
      </c>
    </row>
    <row r="322" spans="4:4" x14ac:dyDescent="0.25">
      <c r="D322" t="s">
        <v>911</v>
      </c>
    </row>
    <row r="323" spans="4:4" x14ac:dyDescent="0.25">
      <c r="D323" t="s">
        <v>912</v>
      </c>
    </row>
    <row r="324" spans="4:4" x14ac:dyDescent="0.25">
      <c r="D324" t="s">
        <v>913</v>
      </c>
    </row>
    <row r="325" spans="4:4" x14ac:dyDescent="0.25">
      <c r="D325" t="s">
        <v>914</v>
      </c>
    </row>
    <row r="326" spans="4:4" x14ac:dyDescent="0.25">
      <c r="D326" t="s">
        <v>915</v>
      </c>
    </row>
    <row r="327" spans="4:4" x14ac:dyDescent="0.25">
      <c r="D327" t="s">
        <v>916</v>
      </c>
    </row>
    <row r="328" spans="4:4" x14ac:dyDescent="0.25">
      <c r="D328" t="s">
        <v>917</v>
      </c>
    </row>
    <row r="329" spans="4:4" x14ac:dyDescent="0.25">
      <c r="D329" t="s">
        <v>918</v>
      </c>
    </row>
    <row r="330" spans="4:4" x14ac:dyDescent="0.25">
      <c r="D330" t="s">
        <v>919</v>
      </c>
    </row>
    <row r="331" spans="4:4" x14ac:dyDescent="0.25">
      <c r="D331" t="s">
        <v>920</v>
      </c>
    </row>
    <row r="332" spans="4:4" x14ac:dyDescent="0.25">
      <c r="D332" t="s">
        <v>921</v>
      </c>
    </row>
    <row r="333" spans="4:4" x14ac:dyDescent="0.25">
      <c r="D333" t="s">
        <v>922</v>
      </c>
    </row>
    <row r="334" spans="4:4" x14ac:dyDescent="0.25">
      <c r="D334" t="s">
        <v>923</v>
      </c>
    </row>
    <row r="335" spans="4:4" x14ac:dyDescent="0.25">
      <c r="D335" t="s">
        <v>924</v>
      </c>
    </row>
    <row r="336" spans="4:4" x14ac:dyDescent="0.25">
      <c r="D336" t="s">
        <v>925</v>
      </c>
    </row>
    <row r="337" spans="4:4" x14ac:dyDescent="0.25">
      <c r="D337" t="s">
        <v>926</v>
      </c>
    </row>
    <row r="338" spans="4:4" x14ac:dyDescent="0.25">
      <c r="D338" t="s">
        <v>927</v>
      </c>
    </row>
    <row r="339" spans="4:4" x14ac:dyDescent="0.25">
      <c r="D339" t="s">
        <v>928</v>
      </c>
    </row>
    <row r="340" spans="4:4" x14ac:dyDescent="0.25">
      <c r="D340" t="s">
        <v>929</v>
      </c>
    </row>
    <row r="341" spans="4:4" x14ac:dyDescent="0.25">
      <c r="D341" t="s">
        <v>930</v>
      </c>
    </row>
    <row r="342" spans="4:4" x14ac:dyDescent="0.25">
      <c r="D342" t="s">
        <v>931</v>
      </c>
    </row>
    <row r="343" spans="4:4" x14ac:dyDescent="0.25">
      <c r="D343" t="s">
        <v>932</v>
      </c>
    </row>
    <row r="344" spans="4:4" x14ac:dyDescent="0.25">
      <c r="D344" t="s">
        <v>933</v>
      </c>
    </row>
    <row r="345" spans="4:4" x14ac:dyDescent="0.25">
      <c r="D345" t="s">
        <v>934</v>
      </c>
    </row>
    <row r="346" spans="4:4" x14ac:dyDescent="0.25">
      <c r="D346" t="s">
        <v>935</v>
      </c>
    </row>
    <row r="347" spans="4:4" x14ac:dyDescent="0.25">
      <c r="D347" t="s">
        <v>936</v>
      </c>
    </row>
    <row r="348" spans="4:4" x14ac:dyDescent="0.25">
      <c r="D348" t="s">
        <v>937</v>
      </c>
    </row>
    <row r="349" spans="4:4" x14ac:dyDescent="0.25">
      <c r="D349" t="s">
        <v>938</v>
      </c>
    </row>
    <row r="350" spans="4:4" x14ac:dyDescent="0.25">
      <c r="D350" t="s">
        <v>939</v>
      </c>
    </row>
    <row r="351" spans="4:4" x14ac:dyDescent="0.25">
      <c r="D351" t="s">
        <v>940</v>
      </c>
    </row>
    <row r="352" spans="4:4" x14ac:dyDescent="0.25">
      <c r="D352" t="s">
        <v>941</v>
      </c>
    </row>
    <row r="353" spans="4:4" x14ac:dyDescent="0.25">
      <c r="D353" t="s">
        <v>942</v>
      </c>
    </row>
    <row r="354" spans="4:4" x14ac:dyDescent="0.25">
      <c r="D354" t="s">
        <v>943</v>
      </c>
    </row>
    <row r="355" spans="4:4" x14ac:dyDescent="0.25">
      <c r="D355" t="s">
        <v>944</v>
      </c>
    </row>
    <row r="356" spans="4:4" x14ac:dyDescent="0.25">
      <c r="D356" t="s">
        <v>945</v>
      </c>
    </row>
    <row r="357" spans="4:4" x14ac:dyDescent="0.25">
      <c r="D357" t="s">
        <v>946</v>
      </c>
    </row>
    <row r="358" spans="4:4" x14ac:dyDescent="0.25">
      <c r="D358" t="s">
        <v>947</v>
      </c>
    </row>
    <row r="359" spans="4:4" x14ac:dyDescent="0.25">
      <c r="D359" t="s">
        <v>948</v>
      </c>
    </row>
    <row r="360" spans="4:4" x14ac:dyDescent="0.25">
      <c r="D360" t="s">
        <v>949</v>
      </c>
    </row>
    <row r="361" spans="4:4" x14ac:dyDescent="0.25">
      <c r="D361" t="s">
        <v>950</v>
      </c>
    </row>
    <row r="362" spans="4:4" x14ac:dyDescent="0.25">
      <c r="D362" t="s">
        <v>951</v>
      </c>
    </row>
    <row r="363" spans="4:4" x14ac:dyDescent="0.25">
      <c r="D363" t="s">
        <v>952</v>
      </c>
    </row>
    <row r="364" spans="4:4" x14ac:dyDescent="0.25">
      <c r="D364" t="s">
        <v>953</v>
      </c>
    </row>
    <row r="365" spans="4:4" x14ac:dyDescent="0.25">
      <c r="D365" t="s">
        <v>954</v>
      </c>
    </row>
    <row r="366" spans="4:4" x14ac:dyDescent="0.25">
      <c r="D366" t="s">
        <v>955</v>
      </c>
    </row>
    <row r="367" spans="4:4" x14ac:dyDescent="0.25">
      <c r="D367" t="s">
        <v>956</v>
      </c>
    </row>
    <row r="368" spans="4:4" x14ac:dyDescent="0.25">
      <c r="D368" t="s">
        <v>957</v>
      </c>
    </row>
    <row r="369" spans="4:4" x14ac:dyDescent="0.25">
      <c r="D369" t="s">
        <v>958</v>
      </c>
    </row>
    <row r="370" spans="4:4" x14ac:dyDescent="0.25">
      <c r="D370" t="s">
        <v>959</v>
      </c>
    </row>
    <row r="371" spans="4:4" x14ac:dyDescent="0.25">
      <c r="D371" t="s">
        <v>960</v>
      </c>
    </row>
    <row r="372" spans="4:4" x14ac:dyDescent="0.25">
      <c r="D372" t="s">
        <v>961</v>
      </c>
    </row>
    <row r="373" spans="4:4" x14ac:dyDescent="0.25">
      <c r="D373" t="s">
        <v>962</v>
      </c>
    </row>
    <row r="374" spans="4:4" x14ac:dyDescent="0.25">
      <c r="D374" t="s">
        <v>963</v>
      </c>
    </row>
    <row r="375" spans="4:4" x14ac:dyDescent="0.25">
      <c r="D375" t="s">
        <v>964</v>
      </c>
    </row>
    <row r="376" spans="4:4" x14ac:dyDescent="0.25">
      <c r="D376" t="s">
        <v>965</v>
      </c>
    </row>
    <row r="377" spans="4:4" x14ac:dyDescent="0.25">
      <c r="D377" t="s">
        <v>966</v>
      </c>
    </row>
    <row r="378" spans="4:4" x14ac:dyDescent="0.25">
      <c r="D378" t="s">
        <v>967</v>
      </c>
    </row>
    <row r="379" spans="4:4" x14ac:dyDescent="0.25">
      <c r="D379" t="s">
        <v>968</v>
      </c>
    </row>
    <row r="380" spans="4:4" x14ac:dyDescent="0.25">
      <c r="D380" t="s">
        <v>969</v>
      </c>
    </row>
  </sheetData>
  <conditionalFormatting sqref="D1:D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4053-E408-42D4-844A-DD221C3F8B6C}">
  <sheetPr codeName="Sheet2"/>
  <dimension ref="A1:E64"/>
  <sheetViews>
    <sheetView workbookViewId="0">
      <pane ySplit="1" topLeftCell="A38" activePane="bottomLeft" state="frozen"/>
      <selection pane="bottomLeft" activeCell="B62" sqref="B62"/>
    </sheetView>
  </sheetViews>
  <sheetFormatPr defaultColWidth="8.85546875" defaultRowHeight="15" x14ac:dyDescent="0.25"/>
  <cols>
    <col min="1" max="1" width="15.5703125" bestFit="1" customWidth="1"/>
    <col min="2" max="2" width="30.5703125" bestFit="1" customWidth="1"/>
    <col min="3" max="3" width="29.140625" bestFit="1" customWidth="1"/>
    <col min="4" max="4" width="23.28515625" customWidth="1"/>
    <col min="5" max="5" width="28.28515625" style="12" bestFit="1" customWidth="1"/>
  </cols>
  <sheetData>
    <row r="1" spans="1:5" x14ac:dyDescent="0.25">
      <c r="A1" s="11" t="s">
        <v>17</v>
      </c>
      <c r="B1" s="11" t="s">
        <v>18</v>
      </c>
      <c r="C1" s="11" t="s">
        <v>313</v>
      </c>
      <c r="D1" s="11" t="s">
        <v>19</v>
      </c>
      <c r="E1" s="11" t="s">
        <v>20</v>
      </c>
    </row>
    <row r="2" spans="1:5" x14ac:dyDescent="0.25">
      <c r="A2" s="18" t="s">
        <v>121</v>
      </c>
      <c r="B2" s="1" t="s">
        <v>122</v>
      </c>
      <c r="C2" s="1" t="s">
        <v>314</v>
      </c>
      <c r="D2" s="1" t="s">
        <v>314</v>
      </c>
      <c r="E2" s="1" t="s">
        <v>315</v>
      </c>
    </row>
    <row r="3" spans="1:5" x14ac:dyDescent="0.25">
      <c r="A3" s="9" t="s">
        <v>213</v>
      </c>
      <c r="B3" s="1" t="s">
        <v>316</v>
      </c>
      <c r="C3" s="1" t="s">
        <v>317</v>
      </c>
      <c r="D3" s="1" t="str">
        <f t="shared" ref="D3:D37" si="0">C3</f>
        <v>ABB</v>
      </c>
      <c r="E3" s="1" t="s">
        <v>318</v>
      </c>
    </row>
    <row r="4" spans="1:5" x14ac:dyDescent="0.25">
      <c r="A4" s="9" t="s">
        <v>213</v>
      </c>
      <c r="B4" s="1" t="s">
        <v>319</v>
      </c>
      <c r="C4" s="1" t="s">
        <v>317</v>
      </c>
      <c r="D4" s="1" t="str">
        <f t="shared" si="0"/>
        <v>ABB</v>
      </c>
      <c r="E4" s="1" t="s">
        <v>320</v>
      </c>
    </row>
    <row r="5" spans="1:5" x14ac:dyDescent="0.25">
      <c r="A5" s="9" t="s">
        <v>213</v>
      </c>
      <c r="B5" s="1" t="s">
        <v>321</v>
      </c>
      <c r="C5" s="1" t="s">
        <v>317</v>
      </c>
      <c r="D5" s="1" t="str">
        <f t="shared" si="0"/>
        <v>ABB</v>
      </c>
      <c r="E5" s="1" t="s">
        <v>322</v>
      </c>
    </row>
    <row r="6" spans="1:5" x14ac:dyDescent="0.25">
      <c r="A6" s="2" t="s">
        <v>213</v>
      </c>
      <c r="B6" s="1" t="s">
        <v>323</v>
      </c>
      <c r="C6" s="1" t="s">
        <v>324</v>
      </c>
      <c r="D6" s="1" t="str">
        <f t="shared" si="0"/>
        <v>Dow</v>
      </c>
      <c r="E6" s="1" t="s">
        <v>325</v>
      </c>
    </row>
    <row r="7" spans="1:5" x14ac:dyDescent="0.25">
      <c r="A7" s="17" t="s">
        <v>213</v>
      </c>
      <c r="B7" s="1" t="s">
        <v>326</v>
      </c>
      <c r="C7" s="1" t="s">
        <v>327</v>
      </c>
      <c r="D7" s="1" t="s">
        <v>328</v>
      </c>
      <c r="E7" s="1" t="s">
        <v>329</v>
      </c>
    </row>
    <row r="8" spans="1:5" x14ac:dyDescent="0.25">
      <c r="A8" s="1" t="s">
        <v>213</v>
      </c>
      <c r="B8" s="1" t="s">
        <v>330</v>
      </c>
      <c r="C8" s="1" t="s">
        <v>327</v>
      </c>
      <c r="D8" s="1" t="s">
        <v>328</v>
      </c>
      <c r="E8" s="1" t="s">
        <v>331</v>
      </c>
    </row>
    <row r="9" spans="1:5" x14ac:dyDescent="0.25">
      <c r="A9" s="17" t="s">
        <v>213</v>
      </c>
      <c r="B9" s="1" t="s">
        <v>214</v>
      </c>
      <c r="C9" s="1" t="s">
        <v>332</v>
      </c>
      <c r="D9" s="1" t="s">
        <v>333</v>
      </c>
      <c r="E9" s="1" t="s">
        <v>334</v>
      </c>
    </row>
    <row r="10" spans="1:5" x14ac:dyDescent="0.25">
      <c r="A10" s="17" t="s">
        <v>213</v>
      </c>
      <c r="B10" s="1" t="s">
        <v>242</v>
      </c>
      <c r="C10" s="1" t="s">
        <v>332</v>
      </c>
      <c r="D10" s="1" t="s">
        <v>333</v>
      </c>
      <c r="E10" s="1" t="s">
        <v>335</v>
      </c>
    </row>
    <row r="11" spans="1:5" x14ac:dyDescent="0.25">
      <c r="A11" s="17" t="s">
        <v>213</v>
      </c>
      <c r="B11" s="1" t="s">
        <v>336</v>
      </c>
      <c r="C11" s="1" t="s">
        <v>337</v>
      </c>
      <c r="D11" s="1" t="s">
        <v>338</v>
      </c>
      <c r="E11" s="1" t="s">
        <v>339</v>
      </c>
    </row>
    <row r="12" spans="1:5" x14ac:dyDescent="0.25">
      <c r="A12" s="17" t="s">
        <v>213</v>
      </c>
      <c r="B12" s="1" t="s">
        <v>340</v>
      </c>
      <c r="C12" s="1" t="s">
        <v>337</v>
      </c>
      <c r="D12" s="1" t="s">
        <v>338</v>
      </c>
      <c r="E12" s="1" t="s">
        <v>341</v>
      </c>
    </row>
    <row r="13" spans="1:5" x14ac:dyDescent="0.25">
      <c r="A13" s="1" t="s">
        <v>213</v>
      </c>
      <c r="B13" s="1" t="s">
        <v>342</v>
      </c>
      <c r="C13" s="1" t="s">
        <v>337</v>
      </c>
      <c r="D13" s="1" t="s">
        <v>338</v>
      </c>
      <c r="E13" s="1" t="s">
        <v>343</v>
      </c>
    </row>
    <row r="14" spans="1:5" x14ac:dyDescent="0.25">
      <c r="A14" s="1" t="s">
        <v>213</v>
      </c>
      <c r="B14" s="1" t="s">
        <v>344</v>
      </c>
      <c r="C14" s="1" t="s">
        <v>337</v>
      </c>
      <c r="D14" s="1" t="s">
        <v>338</v>
      </c>
      <c r="E14" s="1" t="s">
        <v>345</v>
      </c>
    </row>
    <row r="15" spans="1:5" x14ac:dyDescent="0.25">
      <c r="A15" s="1" t="s">
        <v>213</v>
      </c>
      <c r="B15" s="1" t="s">
        <v>346</v>
      </c>
      <c r="C15" s="1" t="s">
        <v>347</v>
      </c>
      <c r="D15" t="s">
        <v>348</v>
      </c>
      <c r="E15" s="1" t="s">
        <v>349</v>
      </c>
    </row>
    <row r="16" spans="1:5" x14ac:dyDescent="0.25">
      <c r="A16" s="1" t="s">
        <v>213</v>
      </c>
      <c r="B16" s="1" t="s">
        <v>350</v>
      </c>
      <c r="C16" s="1" t="s">
        <v>347</v>
      </c>
      <c r="D16" t="s">
        <v>348</v>
      </c>
      <c r="E16" s="1" t="s">
        <v>351</v>
      </c>
    </row>
    <row r="17" spans="1:5" x14ac:dyDescent="0.25">
      <c r="A17" s="1" t="s">
        <v>213</v>
      </c>
      <c r="B17" s="1" t="s">
        <v>352</v>
      </c>
      <c r="C17" s="1" t="s">
        <v>353</v>
      </c>
      <c r="D17" s="1" t="s">
        <v>354</v>
      </c>
      <c r="E17" s="1" t="s">
        <v>355</v>
      </c>
    </row>
    <row r="18" spans="1:5" x14ac:dyDescent="0.25">
      <c r="A18" s="1" t="s">
        <v>213</v>
      </c>
      <c r="B18" s="1" t="s">
        <v>356</v>
      </c>
      <c r="C18" s="1" t="s">
        <v>353</v>
      </c>
      <c r="D18" s="1" t="s">
        <v>354</v>
      </c>
      <c r="E18" s="1" t="s">
        <v>357</v>
      </c>
    </row>
    <row r="19" spans="1:5" x14ac:dyDescent="0.25">
      <c r="A19" s="1" t="s">
        <v>27</v>
      </c>
      <c r="B19" s="1" t="s">
        <v>28</v>
      </c>
      <c r="C19" s="1" t="s">
        <v>358</v>
      </c>
      <c r="D19" s="1" t="str">
        <f>C19</f>
        <v>PAS</v>
      </c>
      <c r="E19" s="1" t="s">
        <v>27</v>
      </c>
    </row>
    <row r="20" spans="1:5" x14ac:dyDescent="0.25">
      <c r="A20" s="1" t="s">
        <v>251</v>
      </c>
      <c r="B20" s="1" t="s">
        <v>359</v>
      </c>
      <c r="C20" s="1" t="s">
        <v>314</v>
      </c>
      <c r="D20" t="s">
        <v>360</v>
      </c>
      <c r="E20" s="1" t="s">
        <v>361</v>
      </c>
    </row>
    <row r="21" spans="1:5" x14ac:dyDescent="0.25">
      <c r="A21" s="1" t="s">
        <v>251</v>
      </c>
      <c r="B21" s="1" t="s">
        <v>252</v>
      </c>
      <c r="C21" s="1" t="s">
        <v>362</v>
      </c>
      <c r="D21" s="1" t="str">
        <f>C21</f>
        <v>OSI</v>
      </c>
      <c r="E21" s="1" t="s">
        <v>363</v>
      </c>
    </row>
    <row r="22" spans="1:5" x14ac:dyDescent="0.25">
      <c r="A22" s="1" t="s">
        <v>251</v>
      </c>
      <c r="B22" s="1" t="s">
        <v>364</v>
      </c>
      <c r="C22" s="1" t="s">
        <v>365</v>
      </c>
      <c r="D22" s="1" t="str">
        <f>C22</f>
        <v>HWL</v>
      </c>
      <c r="E22" s="1" t="s">
        <v>366</v>
      </c>
    </row>
    <row r="23" spans="1:5" x14ac:dyDescent="0.25">
      <c r="A23" s="9" t="s">
        <v>367</v>
      </c>
      <c r="B23" s="1" t="s">
        <v>368</v>
      </c>
      <c r="C23" s="1" t="s">
        <v>337</v>
      </c>
      <c r="D23" s="1" t="s">
        <v>338</v>
      </c>
      <c r="E23" s="1" t="s">
        <v>369</v>
      </c>
    </row>
    <row r="24" spans="1:5" x14ac:dyDescent="0.25">
      <c r="A24" s="1" t="s">
        <v>370</v>
      </c>
      <c r="B24" s="1" t="s">
        <v>371</v>
      </c>
      <c r="C24" s="1" t="s">
        <v>372</v>
      </c>
      <c r="D24" s="1" t="str">
        <f t="shared" si="0"/>
        <v>GE</v>
      </c>
      <c r="E24" s="1" t="s">
        <v>373</v>
      </c>
    </row>
    <row r="25" spans="1:5" x14ac:dyDescent="0.25">
      <c r="A25" s="1" t="s">
        <v>370</v>
      </c>
      <c r="B25" s="1" t="s">
        <v>374</v>
      </c>
      <c r="C25" s="1" t="s">
        <v>375</v>
      </c>
      <c r="D25" s="1" t="str">
        <f t="shared" si="0"/>
        <v>HIMA</v>
      </c>
      <c r="E25" s="1" t="s">
        <v>376</v>
      </c>
    </row>
    <row r="26" spans="1:5" x14ac:dyDescent="0.25">
      <c r="A26" s="9" t="s">
        <v>370</v>
      </c>
      <c r="B26" s="1" t="s">
        <v>377</v>
      </c>
      <c r="C26" s="1" t="s">
        <v>332</v>
      </c>
      <c r="D26" s="1" t="s">
        <v>365</v>
      </c>
      <c r="E26" s="1" t="s">
        <v>378</v>
      </c>
    </row>
    <row r="27" spans="1:5" x14ac:dyDescent="0.25">
      <c r="A27" s="9" t="s">
        <v>370</v>
      </c>
      <c r="B27" s="1" t="s">
        <v>379</v>
      </c>
      <c r="C27" s="1" t="s">
        <v>332</v>
      </c>
      <c r="D27" s="1" t="s">
        <v>365</v>
      </c>
      <c r="E27" s="1" t="s">
        <v>380</v>
      </c>
    </row>
    <row r="28" spans="1:5" x14ac:dyDescent="0.25">
      <c r="A28" s="1" t="s">
        <v>370</v>
      </c>
      <c r="B28" s="1" t="s">
        <v>381</v>
      </c>
      <c r="C28" s="1" t="s">
        <v>332</v>
      </c>
      <c r="D28" s="1" t="s">
        <v>365</v>
      </c>
      <c r="E28" s="1" t="s">
        <v>382</v>
      </c>
    </row>
    <row r="29" spans="1:5" x14ac:dyDescent="0.25">
      <c r="A29" s="1" t="s">
        <v>370</v>
      </c>
      <c r="B29" s="1" t="s">
        <v>383</v>
      </c>
      <c r="C29" s="1" t="s">
        <v>332</v>
      </c>
      <c r="D29" s="1" t="s">
        <v>365</v>
      </c>
      <c r="E29" s="1" t="s">
        <v>366</v>
      </c>
    </row>
    <row r="30" spans="1:5" x14ac:dyDescent="0.25">
      <c r="A30" s="1" t="s">
        <v>370</v>
      </c>
      <c r="B30" s="1" t="s">
        <v>384</v>
      </c>
      <c r="C30" s="1" t="s">
        <v>385</v>
      </c>
      <c r="D30" s="1" t="str">
        <f t="shared" ref="D30" si="1">C30</f>
        <v>Integraph</v>
      </c>
      <c r="E30" s="1" t="s">
        <v>386</v>
      </c>
    </row>
    <row r="31" spans="1:5" x14ac:dyDescent="0.25">
      <c r="A31" s="1" t="s">
        <v>370</v>
      </c>
      <c r="B31" s="37" t="s">
        <v>387</v>
      </c>
      <c r="C31" s="1" t="s">
        <v>385</v>
      </c>
      <c r="D31" s="1" t="str">
        <f t="shared" si="0"/>
        <v>Integraph</v>
      </c>
      <c r="E31" s="1" t="s">
        <v>388</v>
      </c>
    </row>
    <row r="32" spans="1:5" x14ac:dyDescent="0.25">
      <c r="A32" s="1" t="s">
        <v>370</v>
      </c>
      <c r="B32" s="37" t="s">
        <v>389</v>
      </c>
      <c r="C32" s="1" t="s">
        <v>358</v>
      </c>
      <c r="D32" s="1" t="s">
        <v>358</v>
      </c>
      <c r="E32" s="1" t="s">
        <v>390</v>
      </c>
    </row>
    <row r="33" spans="1:5" x14ac:dyDescent="0.25">
      <c r="A33" s="1" t="s">
        <v>370</v>
      </c>
      <c r="B33" s="1" t="s">
        <v>391</v>
      </c>
      <c r="C33" s="1" t="s">
        <v>392</v>
      </c>
      <c r="D33" s="1" t="str">
        <f t="shared" si="0"/>
        <v>SKF</v>
      </c>
      <c r="E33" s="1" t="s">
        <v>393</v>
      </c>
    </row>
    <row r="34" spans="1:5" x14ac:dyDescent="0.25">
      <c r="A34" s="1" t="s">
        <v>370</v>
      </c>
      <c r="B34" s="1" t="s">
        <v>308</v>
      </c>
      <c r="C34" s="1" t="s">
        <v>309</v>
      </c>
      <c r="D34" s="1" t="str">
        <f t="shared" si="0"/>
        <v>Woodward</v>
      </c>
      <c r="E34" s="1" t="s">
        <v>310</v>
      </c>
    </row>
    <row r="35" spans="1:5" x14ac:dyDescent="0.25">
      <c r="A35" s="9" t="s">
        <v>394</v>
      </c>
      <c r="B35" s="9" t="s">
        <v>395</v>
      </c>
      <c r="C35" s="1" t="s">
        <v>358</v>
      </c>
      <c r="D35" s="1" t="str">
        <f t="shared" si="0"/>
        <v>PAS</v>
      </c>
      <c r="E35" s="9" t="s">
        <v>394</v>
      </c>
    </row>
    <row r="36" spans="1:5" x14ac:dyDescent="0.25">
      <c r="A36" s="9" t="s">
        <v>394</v>
      </c>
      <c r="B36" s="9" t="s">
        <v>396</v>
      </c>
      <c r="C36" s="1" t="s">
        <v>358</v>
      </c>
      <c r="D36" s="1" t="str">
        <f t="shared" ref="D36" si="2">C36</f>
        <v>PAS</v>
      </c>
      <c r="E36" s="9" t="s">
        <v>397</v>
      </c>
    </row>
    <row r="37" spans="1:5" x14ac:dyDescent="0.25">
      <c r="A37" s="1" t="s">
        <v>398</v>
      </c>
      <c r="B37" s="1" t="s">
        <v>399</v>
      </c>
      <c r="C37" s="1" t="s">
        <v>358</v>
      </c>
      <c r="D37" s="1" t="str">
        <f t="shared" si="0"/>
        <v>PAS</v>
      </c>
      <c r="E37" s="1" t="s">
        <v>398</v>
      </c>
    </row>
    <row r="38" spans="1:5" x14ac:dyDescent="0.25">
      <c r="A38" s="9" t="s">
        <v>31</v>
      </c>
      <c r="B38" s="1" t="s">
        <v>32</v>
      </c>
      <c r="C38" s="1" t="s">
        <v>36</v>
      </c>
      <c r="D38" s="1" t="str">
        <f t="shared" ref="D38:D63" si="3">C38</f>
        <v>AB</v>
      </c>
      <c r="E38" s="1" t="s">
        <v>37</v>
      </c>
    </row>
    <row r="39" spans="1:5" x14ac:dyDescent="0.25">
      <c r="A39" s="18" t="s">
        <v>31</v>
      </c>
      <c r="B39" s="1" t="s">
        <v>64</v>
      </c>
      <c r="C39" s="1" t="s">
        <v>36</v>
      </c>
      <c r="D39" s="1" t="str">
        <f>C39</f>
        <v>AB</v>
      </c>
      <c r="E39" s="1" t="s">
        <v>400</v>
      </c>
    </row>
    <row r="40" spans="1:5" x14ac:dyDescent="0.25">
      <c r="A40" s="9" t="s">
        <v>31</v>
      </c>
      <c r="B40" s="1" t="s">
        <v>93</v>
      </c>
      <c r="C40" s="1" t="s">
        <v>36</v>
      </c>
      <c r="D40" s="1" t="str">
        <f>C40</f>
        <v>AB</v>
      </c>
      <c r="E40" s="1" t="s">
        <v>401</v>
      </c>
    </row>
    <row r="41" spans="1:5" x14ac:dyDescent="0.25">
      <c r="A41" s="9" t="s">
        <v>31</v>
      </c>
      <c r="B41" s="1" t="s">
        <v>402</v>
      </c>
      <c r="C41" s="1" t="s">
        <v>317</v>
      </c>
      <c r="D41" s="1" t="str">
        <f t="shared" si="3"/>
        <v>ABB</v>
      </c>
      <c r="E41" s="1" t="s">
        <v>403</v>
      </c>
    </row>
    <row r="42" spans="1:5" x14ac:dyDescent="0.25">
      <c r="A42" s="1" t="s">
        <v>31</v>
      </c>
      <c r="B42" s="1" t="s">
        <v>404</v>
      </c>
      <c r="C42" s="1" t="s">
        <v>372</v>
      </c>
      <c r="D42" s="1" t="str">
        <f t="shared" si="3"/>
        <v>GE</v>
      </c>
      <c r="E42" s="1" t="s">
        <v>405</v>
      </c>
    </row>
    <row r="43" spans="1:5" x14ac:dyDescent="0.25">
      <c r="A43" s="1" t="s">
        <v>31</v>
      </c>
      <c r="B43" s="1" t="s">
        <v>406</v>
      </c>
      <c r="C43" s="1" t="s">
        <v>372</v>
      </c>
      <c r="D43" s="1" t="str">
        <f t="shared" si="3"/>
        <v>GE</v>
      </c>
      <c r="E43" s="1" t="s">
        <v>407</v>
      </c>
    </row>
    <row r="44" spans="1:5" x14ac:dyDescent="0.25">
      <c r="A44" s="1" t="s">
        <v>31</v>
      </c>
      <c r="B44" s="1" t="s">
        <v>408</v>
      </c>
      <c r="C44" s="1" t="s">
        <v>337</v>
      </c>
      <c r="D44" s="1" t="s">
        <v>338</v>
      </c>
      <c r="E44" s="1" t="s">
        <v>409</v>
      </c>
    </row>
    <row r="45" spans="1:5" x14ac:dyDescent="0.25">
      <c r="A45" s="1" t="s">
        <v>31</v>
      </c>
      <c r="B45" s="1" t="s">
        <v>250</v>
      </c>
      <c r="C45" s="1" t="s">
        <v>337</v>
      </c>
      <c r="D45" s="1" t="s">
        <v>338</v>
      </c>
      <c r="E45" s="1" t="s">
        <v>410</v>
      </c>
    </row>
    <row r="46" spans="1:5" x14ac:dyDescent="0.25">
      <c r="A46" s="1" t="s">
        <v>31</v>
      </c>
      <c r="B46" s="1" t="s">
        <v>411</v>
      </c>
      <c r="C46" s="1" t="s">
        <v>412</v>
      </c>
      <c r="D46" s="1" t="s">
        <v>412</v>
      </c>
      <c r="E46" s="1" t="s">
        <v>413</v>
      </c>
    </row>
    <row r="47" spans="1:5" x14ac:dyDescent="0.25">
      <c r="A47" s="1" t="s">
        <v>31</v>
      </c>
      <c r="B47" s="1" t="s">
        <v>414</v>
      </c>
      <c r="C47" s="1" t="s">
        <v>412</v>
      </c>
      <c r="D47" s="1" t="s">
        <v>412</v>
      </c>
      <c r="E47" s="1" t="s">
        <v>415</v>
      </c>
    </row>
    <row r="48" spans="1:5" x14ac:dyDescent="0.25">
      <c r="A48" s="2" t="s">
        <v>31</v>
      </c>
      <c r="B48" s="1" t="s">
        <v>416</v>
      </c>
      <c r="C48" s="1" t="s">
        <v>337</v>
      </c>
      <c r="D48" s="1" t="s">
        <v>338</v>
      </c>
      <c r="E48" s="1" t="s">
        <v>417</v>
      </c>
    </row>
    <row r="49" spans="1:5" x14ac:dyDescent="0.25">
      <c r="A49" s="2" t="s">
        <v>31</v>
      </c>
      <c r="B49" s="1" t="s">
        <v>418</v>
      </c>
      <c r="C49" s="1" t="s">
        <v>347</v>
      </c>
      <c r="D49" t="s">
        <v>348</v>
      </c>
      <c r="E49" s="1" t="s">
        <v>419</v>
      </c>
    </row>
    <row r="50" spans="1:5" x14ac:dyDescent="0.25">
      <c r="A50" s="9" t="s">
        <v>262</v>
      </c>
      <c r="B50" s="1" t="s">
        <v>420</v>
      </c>
      <c r="C50" s="1" t="s">
        <v>421</v>
      </c>
      <c r="D50" s="1" t="s">
        <v>422</v>
      </c>
      <c r="E50" s="1" t="s">
        <v>423</v>
      </c>
    </row>
    <row r="51" spans="1:5" x14ac:dyDescent="0.25">
      <c r="A51" s="1" t="s">
        <v>424</v>
      </c>
      <c r="B51" s="1" t="s">
        <v>425</v>
      </c>
      <c r="C51" s="1" t="s">
        <v>372</v>
      </c>
      <c r="D51" s="1" t="str">
        <f t="shared" si="3"/>
        <v>GE</v>
      </c>
      <c r="E51" s="1" t="s">
        <v>426</v>
      </c>
    </row>
    <row r="52" spans="1:5" x14ac:dyDescent="0.25">
      <c r="A52" s="9" t="s">
        <v>230</v>
      </c>
      <c r="B52" s="1" t="s">
        <v>427</v>
      </c>
      <c r="C52" s="1" t="s">
        <v>332</v>
      </c>
      <c r="D52" s="1" t="s">
        <v>365</v>
      </c>
      <c r="E52" s="1" t="s">
        <v>428</v>
      </c>
    </row>
    <row r="53" spans="1:5" x14ac:dyDescent="0.25">
      <c r="A53" s="1" t="s">
        <v>230</v>
      </c>
      <c r="B53" s="1" t="s">
        <v>429</v>
      </c>
      <c r="C53" s="1" t="s">
        <v>332</v>
      </c>
      <c r="D53" s="1" t="s">
        <v>365</v>
      </c>
      <c r="E53" s="1" t="s">
        <v>430</v>
      </c>
    </row>
    <row r="54" spans="1:5" x14ac:dyDescent="0.25">
      <c r="A54" s="9" t="s">
        <v>230</v>
      </c>
      <c r="B54" s="1" t="s">
        <v>231</v>
      </c>
      <c r="C54" s="1" t="s">
        <v>332</v>
      </c>
      <c r="D54" s="1" t="s">
        <v>365</v>
      </c>
      <c r="E54" s="1" t="s">
        <v>431</v>
      </c>
    </row>
    <row r="55" spans="1:5" x14ac:dyDescent="0.25">
      <c r="A55" s="1" t="s">
        <v>230</v>
      </c>
      <c r="B55" s="1" t="s">
        <v>432</v>
      </c>
      <c r="C55" s="1" t="s">
        <v>337</v>
      </c>
      <c r="D55" s="1" t="s">
        <v>338</v>
      </c>
      <c r="E55" s="1" t="s">
        <v>433</v>
      </c>
    </row>
    <row r="56" spans="1:5" x14ac:dyDescent="0.25">
      <c r="A56" s="9" t="s">
        <v>230</v>
      </c>
      <c r="B56" s="1" t="s">
        <v>434</v>
      </c>
      <c r="C56" s="1" t="s">
        <v>337</v>
      </c>
      <c r="D56" s="1" t="s">
        <v>338</v>
      </c>
      <c r="E56" s="1" t="s">
        <v>435</v>
      </c>
    </row>
    <row r="57" spans="1:5" x14ac:dyDescent="0.25">
      <c r="A57" s="9" t="s">
        <v>230</v>
      </c>
      <c r="B57" s="1" t="s">
        <v>265</v>
      </c>
      <c r="C57" s="1" t="s">
        <v>337</v>
      </c>
      <c r="D57" s="1" t="s">
        <v>338</v>
      </c>
      <c r="E57" s="1" t="s">
        <v>436</v>
      </c>
    </row>
    <row r="58" spans="1:5" x14ac:dyDescent="0.25">
      <c r="A58" s="1" t="s">
        <v>230</v>
      </c>
      <c r="B58" s="1" t="s">
        <v>437</v>
      </c>
      <c r="C58" s="1" t="s">
        <v>353</v>
      </c>
      <c r="D58" s="1" t="s">
        <v>354</v>
      </c>
      <c r="E58" s="1" t="s">
        <v>438</v>
      </c>
    </row>
    <row r="59" spans="1:5" x14ac:dyDescent="0.25">
      <c r="A59" s="9" t="s">
        <v>211</v>
      </c>
      <c r="B59" s="1" t="s">
        <v>151</v>
      </c>
      <c r="C59" s="1" t="s">
        <v>314</v>
      </c>
      <c r="D59" s="1" t="str">
        <f t="shared" si="3"/>
        <v>Aspen</v>
      </c>
      <c r="E59" s="1" t="s">
        <v>439</v>
      </c>
    </row>
    <row r="60" spans="1:5" x14ac:dyDescent="0.25">
      <c r="A60" s="1" t="s">
        <v>211</v>
      </c>
      <c r="B60" s="1" t="s">
        <v>440</v>
      </c>
      <c r="C60" s="1" t="s">
        <v>372</v>
      </c>
      <c r="D60" s="1" t="str">
        <f t="shared" si="3"/>
        <v>GE</v>
      </c>
      <c r="E60" s="1" t="s">
        <v>441</v>
      </c>
    </row>
    <row r="61" spans="1:5" x14ac:dyDescent="0.25">
      <c r="A61" s="1" t="s">
        <v>211</v>
      </c>
      <c r="B61" s="1" t="s">
        <v>442</v>
      </c>
      <c r="C61" s="1" t="s">
        <v>372</v>
      </c>
      <c r="D61" s="1" t="str">
        <f t="shared" si="3"/>
        <v>GE</v>
      </c>
      <c r="E61" s="1" t="s">
        <v>443</v>
      </c>
    </row>
    <row r="62" spans="1:5" x14ac:dyDescent="0.25">
      <c r="A62" s="1" t="s">
        <v>211</v>
      </c>
      <c r="B62" s="1" t="s">
        <v>308</v>
      </c>
      <c r="C62" s="1" t="s">
        <v>309</v>
      </c>
      <c r="D62" s="1" t="s">
        <v>309</v>
      </c>
      <c r="E62" s="1" t="s">
        <v>310</v>
      </c>
    </row>
    <row r="63" spans="1:5" x14ac:dyDescent="0.25">
      <c r="A63" s="1" t="s">
        <v>211</v>
      </c>
      <c r="B63" s="1" t="s">
        <v>212</v>
      </c>
      <c r="C63" s="1" t="s">
        <v>372</v>
      </c>
      <c r="D63" s="1" t="str">
        <f t="shared" si="3"/>
        <v>GE</v>
      </c>
      <c r="E63" s="1" t="s">
        <v>444</v>
      </c>
    </row>
    <row r="64" spans="1:5" x14ac:dyDescent="0.25">
      <c r="A64" s="9" t="s">
        <v>182</v>
      </c>
      <c r="B64" s="1" t="s">
        <v>183</v>
      </c>
      <c r="C64" s="1" t="s">
        <v>445</v>
      </c>
      <c r="D64" s="1" t="s">
        <v>372</v>
      </c>
      <c r="E64" s="10" t="s">
        <v>446</v>
      </c>
    </row>
  </sheetData>
  <autoFilter ref="A1:E1" xr:uid="{DFE74053-E408-42D4-844A-DD221C3F8B6C}"/>
  <sortState xmlns:xlrd2="http://schemas.microsoft.com/office/spreadsheetml/2017/richdata2" ref="A3:E64">
    <sortCondition ref="A3:A64"/>
    <sortCondition ref="B3:B64"/>
  </sortState>
  <conditionalFormatting sqref="B31">
    <cfRule type="duplicateValues" dxfId="20" priority="2"/>
  </conditionalFormatting>
  <conditionalFormatting sqref="B32">
    <cfRule type="duplicateValues" dxfId="19" priority="1"/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5A08-EBAD-43F3-A76A-2F691F22B982}">
  <sheetPr codeName="Sheet3"/>
  <dimension ref="A1:P59"/>
  <sheetViews>
    <sheetView topLeftCell="J1" workbookViewId="0">
      <selection activeCell="N1" sqref="N1"/>
    </sheetView>
  </sheetViews>
  <sheetFormatPr defaultColWidth="8.7109375" defaultRowHeight="15" x14ac:dyDescent="0.25"/>
  <cols>
    <col min="1" max="1" width="15.140625" bestFit="1" customWidth="1"/>
    <col min="2" max="2" width="5.7109375" bestFit="1" customWidth="1"/>
    <col min="3" max="3" width="22.7109375" style="39" bestFit="1" customWidth="1"/>
    <col min="4" max="4" width="19.28515625" bestFit="1" customWidth="1"/>
    <col min="5" max="5" width="29.42578125" bestFit="1" customWidth="1"/>
    <col min="6" max="6" width="22.28515625" bestFit="1" customWidth="1"/>
    <col min="7" max="7" width="30.5703125" bestFit="1" customWidth="1"/>
    <col min="8" max="8" width="12.85546875" bestFit="1" customWidth="1"/>
    <col min="9" max="9" width="18" bestFit="1" customWidth="1"/>
    <col min="10" max="10" width="21.7109375" bestFit="1" customWidth="1"/>
    <col min="11" max="11" width="21.140625" bestFit="1" customWidth="1"/>
    <col min="12" max="12" width="15.7109375" bestFit="1" customWidth="1"/>
    <col min="13" max="13" width="21.7109375" bestFit="1" customWidth="1"/>
    <col min="14" max="14" width="17.7109375" bestFit="1" customWidth="1"/>
    <col min="15" max="15" width="21.7109375" bestFit="1" customWidth="1"/>
    <col min="16" max="16" width="28.28515625" bestFit="1" customWidth="1"/>
  </cols>
  <sheetData>
    <row r="1" spans="1:16" x14ac:dyDescent="0.25">
      <c r="A1" s="11" t="s">
        <v>17</v>
      </c>
      <c r="B1" s="11" t="s">
        <v>447</v>
      </c>
      <c r="C1" s="34" t="s">
        <v>448</v>
      </c>
      <c r="D1" s="35" t="s">
        <v>449</v>
      </c>
      <c r="E1" s="35" t="s">
        <v>450</v>
      </c>
      <c r="F1" s="35" t="s">
        <v>451</v>
      </c>
      <c r="G1" s="35" t="s">
        <v>452</v>
      </c>
      <c r="H1" s="35" t="s">
        <v>453</v>
      </c>
      <c r="I1" s="35" t="s">
        <v>454</v>
      </c>
      <c r="J1" s="35" t="s">
        <v>455</v>
      </c>
      <c r="K1" s="35" t="s">
        <v>456</v>
      </c>
      <c r="L1" s="35" t="s">
        <v>457</v>
      </c>
      <c r="M1" s="35" t="s">
        <v>458</v>
      </c>
      <c r="N1" s="35" t="s">
        <v>459</v>
      </c>
      <c r="O1" s="35" t="s">
        <v>460</v>
      </c>
      <c r="P1" s="35" t="s">
        <v>461</v>
      </c>
    </row>
    <row r="2" spans="1:16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x14ac:dyDescent="0.25">
      <c r="A3" s="9" t="s">
        <v>213</v>
      </c>
      <c r="B3" s="1" t="s">
        <v>462</v>
      </c>
      <c r="C3" s="9" t="s">
        <v>402</v>
      </c>
      <c r="D3" s="1" t="s">
        <v>28</v>
      </c>
      <c r="E3" s="37" t="s">
        <v>377</v>
      </c>
      <c r="F3" s="1" t="s">
        <v>395</v>
      </c>
      <c r="G3" s="37" t="s">
        <v>32</v>
      </c>
      <c r="H3" s="1" t="s">
        <v>399</v>
      </c>
      <c r="I3" s="1" t="s">
        <v>263</v>
      </c>
      <c r="J3" s="37" t="s">
        <v>425</v>
      </c>
      <c r="K3" s="37" t="s">
        <v>427</v>
      </c>
      <c r="L3" s="37" t="s">
        <v>440</v>
      </c>
      <c r="M3" s="1" t="s">
        <v>183</v>
      </c>
      <c r="N3" s="1" t="s">
        <v>122</v>
      </c>
      <c r="O3" s="1" t="s">
        <v>425</v>
      </c>
      <c r="P3" s="38" t="s">
        <v>359</v>
      </c>
    </row>
    <row r="4" spans="1:16" x14ac:dyDescent="0.25">
      <c r="A4" s="9" t="s">
        <v>394</v>
      </c>
      <c r="B4" s="1" t="s">
        <v>463</v>
      </c>
      <c r="C4" s="9" t="s">
        <v>316</v>
      </c>
      <c r="E4" s="37" t="s">
        <v>379</v>
      </c>
      <c r="F4" t="s">
        <v>396</v>
      </c>
      <c r="G4" s="37" t="s">
        <v>64</v>
      </c>
      <c r="J4" s="37" t="s">
        <v>368</v>
      </c>
      <c r="K4" s="37" t="s">
        <v>429</v>
      </c>
      <c r="L4" s="37" t="s">
        <v>442</v>
      </c>
      <c r="M4" s="1" t="s">
        <v>391</v>
      </c>
      <c r="N4" s="1" t="s">
        <v>381</v>
      </c>
      <c r="O4" s="1" t="s">
        <v>231</v>
      </c>
      <c r="P4" s="38" t="s">
        <v>364</v>
      </c>
    </row>
    <row r="5" spans="1:16" x14ac:dyDescent="0.25">
      <c r="A5" s="9" t="s">
        <v>398</v>
      </c>
      <c r="B5" s="1" t="s">
        <v>29</v>
      </c>
      <c r="C5" s="9" t="s">
        <v>319</v>
      </c>
      <c r="E5" s="37" t="s">
        <v>384</v>
      </c>
      <c r="G5" s="37" t="s">
        <v>93</v>
      </c>
      <c r="J5" s="37" t="s">
        <v>406</v>
      </c>
      <c r="K5" s="37" t="s">
        <v>231</v>
      </c>
      <c r="L5" s="37" t="s">
        <v>212</v>
      </c>
      <c r="M5" s="1" t="s">
        <v>425</v>
      </c>
      <c r="N5" s="1" t="s">
        <v>464</v>
      </c>
      <c r="O5" s="1" t="s">
        <v>437</v>
      </c>
      <c r="P5" s="38" t="s">
        <v>252</v>
      </c>
    </row>
    <row r="6" spans="1:16" x14ac:dyDescent="0.25">
      <c r="A6" s="9" t="s">
        <v>230</v>
      </c>
      <c r="B6" s="1" t="s">
        <v>465</v>
      </c>
      <c r="C6" s="9" t="s">
        <v>321</v>
      </c>
      <c r="E6" s="37" t="s">
        <v>387</v>
      </c>
      <c r="G6" s="37" t="s">
        <v>404</v>
      </c>
      <c r="J6" s="37" t="s">
        <v>371</v>
      </c>
      <c r="K6" s="37" t="s">
        <v>432</v>
      </c>
      <c r="L6" s="37" t="s">
        <v>308</v>
      </c>
      <c r="N6" s="1" t="s">
        <v>466</v>
      </c>
      <c r="O6" s="1" t="s">
        <v>265</v>
      </c>
      <c r="P6" s="1" t="s">
        <v>467</v>
      </c>
    </row>
    <row r="7" spans="1:16" x14ac:dyDescent="0.25">
      <c r="A7" s="9" t="s">
        <v>31</v>
      </c>
      <c r="B7" s="1" t="s">
        <v>468</v>
      </c>
      <c r="C7" s="9" t="s">
        <v>326</v>
      </c>
      <c r="E7" s="37" t="s">
        <v>469</v>
      </c>
      <c r="G7" s="37" t="s">
        <v>406</v>
      </c>
      <c r="K7" s="37" t="s">
        <v>434</v>
      </c>
      <c r="L7" s="37" t="s">
        <v>265</v>
      </c>
      <c r="N7" s="1" t="s">
        <v>151</v>
      </c>
      <c r="O7" s="1" t="s">
        <v>374</v>
      </c>
    </row>
    <row r="8" spans="1:16" x14ac:dyDescent="0.25">
      <c r="A8" s="9" t="s">
        <v>182</v>
      </c>
      <c r="B8" s="1" t="s">
        <v>470</v>
      </c>
      <c r="C8" s="9" t="s">
        <v>330</v>
      </c>
      <c r="E8" s="37" t="s">
        <v>471</v>
      </c>
      <c r="G8" s="37" t="s">
        <v>411</v>
      </c>
      <c r="K8" s="37" t="s">
        <v>265</v>
      </c>
      <c r="L8" s="37" t="s">
        <v>371</v>
      </c>
      <c r="O8" s="1" t="s">
        <v>368</v>
      </c>
    </row>
    <row r="9" spans="1:16" x14ac:dyDescent="0.25">
      <c r="A9" s="1" t="s">
        <v>472</v>
      </c>
      <c r="B9" s="1"/>
      <c r="C9" s="9" t="s">
        <v>214</v>
      </c>
      <c r="E9" s="37" t="s">
        <v>389</v>
      </c>
      <c r="G9" s="37" t="s">
        <v>414</v>
      </c>
      <c r="K9" s="37" t="s">
        <v>437</v>
      </c>
    </row>
    <row r="10" spans="1:16" x14ac:dyDescent="0.25">
      <c r="A10" s="9" t="s">
        <v>211</v>
      </c>
      <c r="B10" s="1"/>
      <c r="C10" s="9" t="s">
        <v>242</v>
      </c>
      <c r="E10" s="37" t="s">
        <v>473</v>
      </c>
      <c r="G10" s="37" t="s">
        <v>408</v>
      </c>
      <c r="K10" s="37" t="s">
        <v>374</v>
      </c>
    </row>
    <row r="11" spans="1:16" x14ac:dyDescent="0.25">
      <c r="A11" s="1" t="s">
        <v>251</v>
      </c>
      <c r="B11" s="1"/>
      <c r="C11" s="9" t="s">
        <v>336</v>
      </c>
      <c r="G11" s="37" t="s">
        <v>250</v>
      </c>
    </row>
    <row r="12" spans="1:16" x14ac:dyDescent="0.25">
      <c r="A12" s="9" t="s">
        <v>121</v>
      </c>
      <c r="B12" s="1"/>
      <c r="C12" s="9" t="s">
        <v>340</v>
      </c>
      <c r="G12" s="37" t="s">
        <v>418</v>
      </c>
    </row>
    <row r="13" spans="1:16" x14ac:dyDescent="0.25">
      <c r="A13" s="9" t="s">
        <v>27</v>
      </c>
      <c r="B13" s="1"/>
      <c r="C13" s="9" t="s">
        <v>342</v>
      </c>
      <c r="G13" s="37" t="s">
        <v>474</v>
      </c>
    </row>
    <row r="14" spans="1:16" x14ac:dyDescent="0.25">
      <c r="A14" s="9" t="s">
        <v>424</v>
      </c>
      <c r="B14" s="1"/>
      <c r="C14" s="9" t="s">
        <v>344</v>
      </c>
      <c r="G14" s="37" t="s">
        <v>416</v>
      </c>
    </row>
    <row r="15" spans="1:16" x14ac:dyDescent="0.25">
      <c r="A15" s="9" t="s">
        <v>262</v>
      </c>
      <c r="B15" s="1"/>
      <c r="C15" s="9" t="s">
        <v>346</v>
      </c>
    </row>
    <row r="16" spans="1:16" x14ac:dyDescent="0.25">
      <c r="A16" s="9" t="s">
        <v>370</v>
      </c>
      <c r="B16" s="1"/>
      <c r="C16" s="9" t="s">
        <v>350</v>
      </c>
    </row>
    <row r="17" spans="1:3" x14ac:dyDescent="0.25">
      <c r="A17" s="1"/>
      <c r="B17" s="1"/>
      <c r="C17" s="9" t="s">
        <v>352</v>
      </c>
    </row>
    <row r="18" spans="1:3" x14ac:dyDescent="0.25">
      <c r="A18" s="1"/>
      <c r="B18" s="1"/>
      <c r="C18" s="9" t="s">
        <v>356</v>
      </c>
    </row>
    <row r="19" spans="1:3" x14ac:dyDescent="0.25">
      <c r="A19" s="1"/>
      <c r="B19" s="1"/>
      <c r="C19" s="37"/>
    </row>
    <row r="20" spans="1:3" x14ac:dyDescent="0.25">
      <c r="A20" s="1"/>
      <c r="B20" s="1"/>
      <c r="C20" s="1"/>
    </row>
    <row r="21" spans="1:3" x14ac:dyDescent="0.25">
      <c r="A21" s="1"/>
      <c r="B21" s="1"/>
      <c r="C21" s="37"/>
    </row>
    <row r="22" spans="1:3" x14ac:dyDescent="0.25">
      <c r="A22" s="1"/>
      <c r="B22" s="1"/>
      <c r="C22" s="37"/>
    </row>
    <row r="23" spans="1:3" x14ac:dyDescent="0.25">
      <c r="A23" s="1"/>
      <c r="B23" s="1"/>
      <c r="C23" s="37"/>
    </row>
    <row r="24" spans="1:3" x14ac:dyDescent="0.25">
      <c r="A24" s="1"/>
      <c r="B24" s="1"/>
      <c r="C24" s="37"/>
    </row>
    <row r="25" spans="1:3" x14ac:dyDescent="0.25">
      <c r="A25" s="1"/>
      <c r="B25" s="1"/>
      <c r="C25" s="37"/>
    </row>
    <row r="26" spans="1:3" x14ac:dyDescent="0.25">
      <c r="A26" s="1"/>
      <c r="B26" s="1"/>
      <c r="C26" s="37"/>
    </row>
    <row r="27" spans="1:3" x14ac:dyDescent="0.25">
      <c r="A27" s="1"/>
      <c r="B27" s="1"/>
      <c r="C27" s="37"/>
    </row>
    <row r="28" spans="1:3" x14ac:dyDescent="0.25">
      <c r="A28" s="1"/>
      <c r="B28" s="1"/>
      <c r="C28" s="37"/>
    </row>
    <row r="29" spans="1:3" x14ac:dyDescent="0.25">
      <c r="A29" s="1"/>
      <c r="B29" s="1"/>
      <c r="C29" s="37"/>
    </row>
    <row r="30" spans="1:3" x14ac:dyDescent="0.25">
      <c r="A30" s="1"/>
      <c r="B30" s="1"/>
      <c r="C30" s="37"/>
    </row>
    <row r="31" spans="1:3" x14ac:dyDescent="0.25">
      <c r="A31" s="1"/>
      <c r="B31" s="1"/>
      <c r="C31" s="37"/>
    </row>
    <row r="32" spans="1:3" x14ac:dyDescent="0.25">
      <c r="A32" s="1"/>
      <c r="B32" s="1"/>
      <c r="C32" s="37"/>
    </row>
    <row r="33" spans="1:3" x14ac:dyDescent="0.25">
      <c r="A33" s="1"/>
      <c r="B33" s="1"/>
      <c r="C33" s="37"/>
    </row>
    <row r="34" spans="1:3" x14ac:dyDescent="0.25">
      <c r="A34" s="1"/>
      <c r="B34" s="1"/>
      <c r="C34" s="37"/>
    </row>
    <row r="35" spans="1:3" x14ac:dyDescent="0.25">
      <c r="A35" s="1"/>
      <c r="B35" s="1"/>
      <c r="C35" s="37"/>
    </row>
    <row r="36" spans="1:3" x14ac:dyDescent="0.25">
      <c r="A36" s="1"/>
      <c r="B36" s="1"/>
      <c r="C36" s="37"/>
    </row>
    <row r="37" spans="1:3" x14ac:dyDescent="0.25">
      <c r="A37" s="1"/>
      <c r="B37" s="1"/>
      <c r="C37" s="37"/>
    </row>
    <row r="38" spans="1:3" x14ac:dyDescent="0.25">
      <c r="A38" s="1"/>
      <c r="B38" s="1"/>
      <c r="C38" s="37"/>
    </row>
    <row r="39" spans="1:3" x14ac:dyDescent="0.25">
      <c r="A39" s="1"/>
      <c r="B39" s="1"/>
      <c r="C39" s="37"/>
    </row>
    <row r="40" spans="1:3" x14ac:dyDescent="0.25">
      <c r="A40" s="1"/>
      <c r="B40" s="1"/>
      <c r="C40" s="37"/>
    </row>
    <row r="41" spans="1:3" x14ac:dyDescent="0.25">
      <c r="A41" s="1"/>
      <c r="B41" s="1"/>
      <c r="C41" s="37"/>
    </row>
    <row r="42" spans="1:3" x14ac:dyDescent="0.25">
      <c r="A42" s="1"/>
      <c r="B42" s="1"/>
      <c r="C42" s="37"/>
    </row>
    <row r="43" spans="1:3" x14ac:dyDescent="0.25">
      <c r="A43" s="1"/>
      <c r="B43" s="1"/>
      <c r="C43" s="37"/>
    </row>
    <row r="44" spans="1:3" x14ac:dyDescent="0.25">
      <c r="A44" s="1"/>
      <c r="B44" s="1"/>
      <c r="C44" s="37"/>
    </row>
    <row r="45" spans="1:3" x14ac:dyDescent="0.25">
      <c r="A45" s="1"/>
      <c r="B45" s="1"/>
      <c r="C45" s="37"/>
    </row>
    <row r="46" spans="1:3" x14ac:dyDescent="0.25">
      <c r="A46" s="1"/>
      <c r="B46" s="1"/>
      <c r="C46" s="37"/>
    </row>
    <row r="47" spans="1:3" x14ac:dyDescent="0.25">
      <c r="A47" s="1"/>
      <c r="B47" s="1"/>
      <c r="C47" s="37"/>
    </row>
    <row r="48" spans="1:3" x14ac:dyDescent="0.25">
      <c r="A48" s="1"/>
      <c r="B48" s="1"/>
      <c r="C48" s="37"/>
    </row>
    <row r="49" spans="1:3" x14ac:dyDescent="0.25">
      <c r="A49" s="1"/>
      <c r="B49" s="1"/>
      <c r="C49" s="37"/>
    </row>
    <row r="50" spans="1:3" x14ac:dyDescent="0.25">
      <c r="A50" s="1"/>
      <c r="B50" s="1"/>
      <c r="C50" s="37"/>
    </row>
    <row r="51" spans="1:3" x14ac:dyDescent="0.25">
      <c r="A51" s="1"/>
      <c r="B51" s="1"/>
      <c r="C51" s="37"/>
    </row>
    <row r="52" spans="1:3" x14ac:dyDescent="0.25">
      <c r="A52" s="1"/>
      <c r="B52" s="1"/>
      <c r="C52" s="37"/>
    </row>
    <row r="53" spans="1:3" x14ac:dyDescent="0.25">
      <c r="A53" s="1"/>
      <c r="B53" s="1"/>
      <c r="C53" s="37"/>
    </row>
    <row r="54" spans="1:3" x14ac:dyDescent="0.25">
      <c r="A54" s="1"/>
      <c r="B54" s="1"/>
      <c r="C54" s="37"/>
    </row>
    <row r="55" spans="1:3" x14ac:dyDescent="0.25">
      <c r="A55" s="1"/>
      <c r="B55" s="1"/>
      <c r="C55" s="37"/>
    </row>
    <row r="56" spans="1:3" x14ac:dyDescent="0.25">
      <c r="A56" s="1"/>
      <c r="B56" s="1"/>
      <c r="C56" s="37"/>
    </row>
    <row r="57" spans="1:3" x14ac:dyDescent="0.25">
      <c r="A57" s="1"/>
      <c r="B57" s="1"/>
      <c r="C57" s="37"/>
    </row>
    <row r="58" spans="1:3" x14ac:dyDescent="0.25">
      <c r="A58" s="1"/>
      <c r="B58" s="1"/>
      <c r="C58" s="37"/>
    </row>
    <row r="59" spans="1:3" x14ac:dyDescent="0.25">
      <c r="C59" s="37"/>
    </row>
  </sheetData>
  <conditionalFormatting sqref="C3:C18">
    <cfRule type="duplicateValues" dxfId="18" priority="5"/>
  </conditionalFormatting>
  <conditionalFormatting sqref="C19">
    <cfRule type="duplicateValues" dxfId="17" priority="6"/>
  </conditionalFormatting>
  <conditionalFormatting sqref="E3:E10">
    <cfRule type="duplicateValues" dxfId="16" priority="32"/>
  </conditionalFormatting>
  <conditionalFormatting sqref="E11:E16">
    <cfRule type="duplicateValues" dxfId="15" priority="11"/>
  </conditionalFormatting>
  <conditionalFormatting sqref="E17:E1048576 G16:G1048576 A1:XFD2 M6:M7 A20:D1048576 M8:N8 P7:XFD8 L9:XFD10 Q3:XFD6 A3:B19 F3:F1048576 J7:J1048576 H3:I1048576 K11:XFD1048576 G9 D3:D19">
    <cfRule type="duplicateValues" dxfId="14" priority="14"/>
  </conditionalFormatting>
  <conditionalFormatting sqref="G10:G14 G3:G8">
    <cfRule type="duplicateValues" dxfId="13" priority="15"/>
  </conditionalFormatting>
  <conditionalFormatting sqref="J3:J6">
    <cfRule type="duplicateValues" dxfId="12" priority="10"/>
  </conditionalFormatting>
  <conditionalFormatting sqref="J7">
    <cfRule type="duplicateValues" dxfId="11" priority="13"/>
  </conditionalFormatting>
  <conditionalFormatting sqref="J8">
    <cfRule type="duplicateValues" dxfId="10" priority="12"/>
  </conditionalFormatting>
  <conditionalFormatting sqref="K3:K10">
    <cfRule type="duplicateValues" dxfId="9" priority="4"/>
  </conditionalFormatting>
  <conditionalFormatting sqref="L3:L8">
    <cfRule type="duplicateValues" dxfId="8" priority="3"/>
  </conditionalFormatting>
  <conditionalFormatting sqref="M3:M4">
    <cfRule type="duplicateValues" dxfId="7" priority="9"/>
  </conditionalFormatting>
  <conditionalFormatting sqref="M5">
    <cfRule type="duplicateValues" dxfId="6" priority="1"/>
  </conditionalFormatting>
  <conditionalFormatting sqref="N3:N7">
    <cfRule type="duplicateValues" dxfId="5" priority="8"/>
  </conditionalFormatting>
  <conditionalFormatting sqref="O3:O8">
    <cfRule type="duplicateValues" dxfId="4" priority="2"/>
  </conditionalFormatting>
  <conditionalFormatting sqref="P3:P6">
    <cfRule type="duplicateValues" dxfId="3" priority="7"/>
  </conditionalFormatting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36A4B091844EA66905787716B541" ma:contentTypeVersion="10" ma:contentTypeDescription="Create a new document." ma:contentTypeScope="" ma:versionID="e6c752a113c9823c110186775fd14bf3">
  <xsd:schema xmlns:xsd="http://www.w3.org/2001/XMLSchema" xmlns:xs="http://www.w3.org/2001/XMLSchema" xmlns:p="http://schemas.microsoft.com/office/2006/metadata/properties" xmlns:ns2="ab0233ba-5560-4192-ad8f-ab48f8702ea5" targetNamespace="http://schemas.microsoft.com/office/2006/metadata/properties" ma:root="true" ma:fieldsID="228d7932bf9a40512aa38640b886a417" ns2:_="">
    <xsd:import namespace="ab0233ba-5560-4192-ad8f-ab48f8702e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233ba-5560-4192-ad8f-ab48f8702e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99a341-e37a-4672-a76c-13c4937058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0233ba-5560-4192-ad8f-ab48f8702e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2E6EDC7-5B43-43D9-8BD9-BCD6EA043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233ba-5560-4192-ad8f-ab48f8702e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896247-E667-4C1B-9084-3ADA3AB94306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ab0233ba-5560-4192-ad8f-ab48f8702ea5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24C3ED9-1380-4573-BCB7-2A3FB6DA3E9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452569E-B2BB-4E19-A6F1-8251E2B4224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640f4ce-86c6-44f2-a477-06bd39617e97}" enabled="0" method="" siteId="{1640f4ce-86c6-44f2-a477-06bd39617e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Instructions</vt:lpstr>
      <vt:lpstr>Assets</vt:lpstr>
      <vt:lpstr>Sheet1</vt:lpstr>
      <vt:lpstr>Look Table</vt:lpstr>
      <vt:lpstr>Selections</vt:lpstr>
      <vt:lpstr>APC</vt:lpstr>
      <vt:lpstr>AssetType</vt:lpstr>
      <vt:lpstr>DCS</vt:lpstr>
      <vt:lpstr>Historian</vt:lpstr>
      <vt:lpstr>HMI</vt:lpstr>
      <vt:lpstr>ManualInventory</vt:lpstr>
      <vt:lpstr>MISC</vt:lpstr>
      <vt:lpstr>NetworkDevices</vt:lpstr>
      <vt:lpstr>PLC</vt:lpstr>
      <vt:lpstr>RTU</vt:lpstr>
      <vt:lpstr>SCADA</vt:lpstr>
      <vt:lpstr>SIS</vt:lpstr>
      <vt:lpstr>TCS</vt:lpstr>
      <vt:lpstr>VMS</vt:lpstr>
      <vt:lpstr>WindowsDevices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Thong Nguyen</dc:creator>
  <cp:keywords/>
  <dc:description/>
  <cp:lastModifiedBy>MEHTA Vivekkumar J (Vivek Mehta)</cp:lastModifiedBy>
  <cp:revision/>
  <dcterms:created xsi:type="dcterms:W3CDTF">2020-04-30T20:09:28Z</dcterms:created>
  <dcterms:modified xsi:type="dcterms:W3CDTF">2025-09-12T11:15:22Z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0x0101009EB736A4B091844EA66905787716B541</vt:lpwstr>
  </property>
  <property fmtid="{D5CDD505-2E9C-101B-9397-08002B2CF9AE}" pid="3" name="MediaServiceImageTags">
    <vt:lpwstr/>
  </property>
</Properties>
</file>